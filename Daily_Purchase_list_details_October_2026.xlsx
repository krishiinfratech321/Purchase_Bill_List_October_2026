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urchase_List_October_2026\"/>
    </mc:Choice>
  </mc:AlternateContent>
  <xr:revisionPtr revIDLastSave="0" documentId="13_ncr:1_{E048B436-A1F2-4545-B332-F6EFDB626AF2}" xr6:coauthVersionLast="47" xr6:coauthVersionMax="47" xr10:uidLastSave="{00000000-0000-0000-0000-000000000000}"/>
  <bookViews>
    <workbookView xWindow="-120" yWindow="-120" windowWidth="25440" windowHeight="15270" tabRatio="702" activeTab="3" xr2:uid="{4372692A-B248-4023-8853-7970FF453BFE}"/>
  </bookViews>
  <sheets>
    <sheet name="Date_03-10-2026 to 09-10-2026" sheetId="1" r:id="rId1"/>
    <sheet name="Date_10-10-2026 to 16-10-2026" sheetId="2" r:id="rId2"/>
    <sheet name="Date_17-10-26 to 23-10-2026" sheetId="3" r:id="rId3"/>
    <sheet name="Date_24-10-2026 to 30 -10-2026" sheetId="4" r:id="rId4"/>
  </sheets>
  <definedNames>
    <definedName name="_xlnm._FilterDatabase" localSheetId="0" hidden="1">'Date_03-10-2026 to 09-10-2026'!$A$3:$G$3</definedName>
    <definedName name="_xlnm._FilterDatabase" localSheetId="1" hidden="1">'Date_10-10-2026 to 16-10-2026'!$A$3:$G$3</definedName>
    <definedName name="_xlnm._FilterDatabase" localSheetId="2" hidden="1">'Date_17-10-26 to 23-10-2026'!$A$3:$G$3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4" l="1"/>
  <c r="G13" i="4"/>
  <c r="G14" i="4" s="1"/>
  <c r="G6" i="4"/>
  <c r="G7" i="4" s="1"/>
  <c r="G8" i="4" s="1"/>
  <c r="G9" i="4" s="1"/>
  <c r="G10" i="4" s="1"/>
  <c r="G11" i="4" s="1"/>
  <c r="G12" i="4" s="1"/>
  <c r="E25" i="4"/>
  <c r="G25" i="4"/>
  <c r="F15" i="4"/>
  <c r="E15" i="4"/>
  <c r="G27" i="3"/>
  <c r="G28" i="3" s="1"/>
  <c r="G29" i="3" s="1"/>
  <c r="G30" i="3" s="1"/>
  <c r="G7" i="3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6" i="3"/>
  <c r="G5" i="3"/>
  <c r="F20" i="3"/>
  <c r="E20" i="3"/>
  <c r="E30" i="3"/>
  <c r="F28" i="2"/>
  <c r="E28" i="2"/>
  <c r="E22" i="2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E38" i="2"/>
  <c r="G38" i="2"/>
  <c r="G32" i="1"/>
  <c r="G30" i="1"/>
  <c r="G31" i="1" s="1"/>
  <c r="G29" i="1"/>
  <c r="E32" i="1"/>
  <c r="E19" i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</calcChain>
</file>

<file path=xl/sharedStrings.xml><?xml version="1.0" encoding="utf-8"?>
<sst xmlns="http://schemas.openxmlformats.org/spreadsheetml/2006/main" count="237" uniqueCount="132">
  <si>
    <t>M/S KRISHI INFRATECH,SOMPETA</t>
  </si>
  <si>
    <t>PURCHASE  LIST,DAILY PAYMENTS</t>
  </si>
  <si>
    <t>S.No</t>
  </si>
  <si>
    <t>Date</t>
  </si>
  <si>
    <t>Bill No</t>
  </si>
  <si>
    <t>Particulars</t>
  </si>
  <si>
    <t>Dr Amount</t>
  </si>
  <si>
    <t>Cr Amount</t>
  </si>
  <si>
    <t>Balance</t>
  </si>
  <si>
    <t>28-09-2026</t>
  </si>
  <si>
    <t>TOTAL</t>
  </si>
  <si>
    <t>MIRAI BUILDTECH PVT LTD ,SOMPETA</t>
  </si>
  <si>
    <t>Purchase List,Daily Payments</t>
  </si>
  <si>
    <t xml:space="preserve">  TOTAL</t>
  </si>
  <si>
    <t>06-10-2026</t>
  </si>
  <si>
    <t>08-10-2026</t>
  </si>
  <si>
    <t>09-10-2026</t>
  </si>
  <si>
    <t>05-10-2026</t>
  </si>
  <si>
    <t>85</t>
  </si>
  <si>
    <t>84</t>
  </si>
  <si>
    <t>194</t>
  </si>
  <si>
    <t>Flipkart</t>
  </si>
  <si>
    <t>03-10-2026</t>
  </si>
  <si>
    <t>paid to Panchayati secretary for NOC  Lc- 335 Electrical Purpose.</t>
  </si>
  <si>
    <t>current application fees for LC-335</t>
  </si>
  <si>
    <t>Watchman Bed, Bed sheet pillow, blanket, Bed cover.</t>
  </si>
  <si>
    <t>Torch light for camp office.</t>
  </si>
  <si>
    <t>Received money from Rajashekar Through ph.pay</t>
  </si>
  <si>
    <t>stapler Pin Box for Mirai Buildtech {crusher}</t>
  </si>
  <si>
    <t>GST/2026-27/1405</t>
  </si>
  <si>
    <t>Gray 8187 paint 5 liters Thinner 2 liters &amp; masking Tape 3 NO'S for camp office watchman Container</t>
  </si>
  <si>
    <t>paid to Rajashekar (A/c) Ph pay Name G.V Gopal krishna</t>
  </si>
  <si>
    <t>Block Print &amp; color prints for Lc-335 Electrical Purpose.</t>
  </si>
  <si>
    <t>Key Holder for room No:1</t>
  </si>
  <si>
    <t>Received money from Rajashekar through Cash</t>
  </si>
  <si>
    <t>cool drinks for vigilance Deptment 10 lussy &amp; 8 maaza.</t>
  </si>
  <si>
    <t>Ananth patasa Expense</t>
  </si>
  <si>
    <t>Paid to wifi issue Box &amp; cable in crusher</t>
  </si>
  <si>
    <t>241</t>
  </si>
  <si>
    <t>11-10-2026</t>
  </si>
  <si>
    <t>Bhubaneswar wife recharge</t>
  </si>
  <si>
    <t>242</t>
  </si>
  <si>
    <t>12-10-2026</t>
  </si>
  <si>
    <r>
      <t>New TM drivers: bed, bed sheet, chapa, pillow covers for</t>
    </r>
    <r>
      <rPr>
        <b/>
        <sz val="11"/>
        <color theme="1"/>
        <rFont val="Calibri"/>
        <family val="2"/>
        <scheme val="minor"/>
      </rPr>
      <t xml:space="preserve"> 3 members</t>
    </r>
  </si>
  <si>
    <t>243</t>
  </si>
  <si>
    <t>72</t>
  </si>
  <si>
    <t>locks  5 Nos , wighment room / watchman room and Lalu room</t>
  </si>
  <si>
    <t>244</t>
  </si>
  <si>
    <t>Received money from Rajashekar through Phone Pe</t>
  </si>
  <si>
    <t>245</t>
  </si>
  <si>
    <t>13-10-2026</t>
  </si>
  <si>
    <t>2574</t>
  </si>
  <si>
    <t>Fans, 2 Nos., for B7 room</t>
  </si>
  <si>
    <t>246</t>
  </si>
  <si>
    <t>02</t>
  </si>
  <si>
    <t xml:space="preserve">Helper (2 Nos.); chapa and bed sheet, pillow, pillow cover </t>
  </si>
  <si>
    <t>247</t>
  </si>
  <si>
    <t>Material Transport from Vizag to Sompeta Girder Meterial ,(bentonite powder)</t>
  </si>
  <si>
    <t>248</t>
  </si>
  <si>
    <t>Received money from Rajashekar through cash</t>
  </si>
  <si>
    <t>249</t>
  </si>
  <si>
    <t>250</t>
  </si>
  <si>
    <t>Received money from Rajashekar through Phone Pe Rajashekar to vehicle driver number</t>
  </si>
  <si>
    <t>251</t>
  </si>
  <si>
    <t>14-10-2026</t>
  </si>
  <si>
    <t>03</t>
  </si>
  <si>
    <t>Chapa, 2 Nos. &amp; pillows; bed sheets, 2 Nos.; pillow cover for new watchman family (Day time Watchman)</t>
  </si>
  <si>
    <t>252</t>
  </si>
  <si>
    <t>253</t>
  </si>
  <si>
    <t>Paid to airtel Wi-Fi technician for Gireesh sir  room</t>
  </si>
  <si>
    <t>256</t>
  </si>
  <si>
    <t>15-10-2026</t>
  </si>
  <si>
    <t>257</t>
  </si>
  <si>
    <t>Hand gloves, 4 pairs, to store for lab</t>
  </si>
  <si>
    <t>258</t>
  </si>
  <si>
    <t>16-10-2026</t>
  </si>
  <si>
    <t>259</t>
  </si>
  <si>
    <t>261</t>
  </si>
  <si>
    <t>Multi Meter Return Amount From FlipKart</t>
  </si>
  <si>
    <t>Gunny bags, 40 Nos. (40 × 18) to store</t>
  </si>
  <si>
    <t>Gunny bags, 100 Nos. (40 × 17) To Store</t>
  </si>
  <si>
    <t xml:space="preserve"> TOTAL</t>
  </si>
  <si>
    <t xml:space="preserve">        </t>
  </si>
  <si>
    <t xml:space="preserve">Murali Technical works ,Printing papers for Crusher Weighmnet </t>
  </si>
  <si>
    <t>260</t>
  </si>
  <si>
    <t xml:space="preserve">VRL Logistics LTD Freight charges From Hyd to Palasa &amp;  Loading Charges </t>
  </si>
  <si>
    <t xml:space="preserve">Murali Technical Works , Catridge Refilling for office </t>
  </si>
  <si>
    <t>265</t>
  </si>
  <si>
    <t>17-10-26</t>
  </si>
  <si>
    <t>{Amazon} Measuring Jug 1000ml for store. one No's</t>
  </si>
  <si>
    <t>266</t>
  </si>
  <si>
    <t>18-10-26</t>
  </si>
  <si>
    <t>Disti Bommalu Big size 2 No's for Camp office.</t>
  </si>
  <si>
    <t>267</t>
  </si>
  <si>
    <t>Disti Bommalu Big size 1 No's for crusher</t>
  </si>
  <si>
    <t>268</t>
  </si>
  <si>
    <t>396102</t>
  </si>
  <si>
    <t>Colin Glass Cleaner 1 lt pouch for office</t>
  </si>
  <si>
    <t>269</t>
  </si>
  <si>
    <t>94</t>
  </si>
  <si>
    <t>270</t>
  </si>
  <si>
    <t>95</t>
  </si>
  <si>
    <t>Watchman torch light (Aluminum light)</t>
  </si>
  <si>
    <t>271</t>
  </si>
  <si>
    <t>Received money from Rajashekar through ph-pay</t>
  </si>
  <si>
    <t>272</t>
  </si>
  <si>
    <t>273</t>
  </si>
  <si>
    <t>19-10-26</t>
  </si>
  <si>
    <t>LBAAAF 9270152917</t>
  </si>
  <si>
    <t>HP mouse wired one No's for Lab</t>
  </si>
  <si>
    <t>274</t>
  </si>
  <si>
    <t>22-10-26</t>
  </si>
  <si>
    <t>paid to lineman shiva (Dasara Mamulu)</t>
  </si>
  <si>
    <t>275</t>
  </si>
  <si>
    <t>276</t>
  </si>
  <si>
    <t>23-10-26</t>
  </si>
  <si>
    <t>92</t>
  </si>
  <si>
    <t>Tirupathi Electricals 3/4" cpvc pipe &amp; L-Bo &amp; tee bend &amp; Gatewall cpvc gum 250 ml Earth pipe for LC-352</t>
  </si>
  <si>
    <t xml:space="preserve"> </t>
  </si>
  <si>
    <t>Steel plates for mess 15 No's x 200</t>
  </si>
  <si>
    <t>277</t>
  </si>
  <si>
    <t>24-10-2026</t>
  </si>
  <si>
    <t xml:space="preserve">3 feet cement Rings 4 No's 4*320 &amp;  one cap 1*400  for LC-352 </t>
  </si>
  <si>
    <t>LC-352 Electrical Bill  for  October Month</t>
  </si>
  <si>
    <t>Pytm-929726031654</t>
  </si>
  <si>
    <t>50mm Door  Locks   3 No's  For LC -352  Container</t>
  </si>
  <si>
    <t>25-10-2026</t>
  </si>
  <si>
    <t>Letters Tronsport charges from sompeta to Vizag</t>
  </si>
  <si>
    <t>29-10-2026</t>
  </si>
  <si>
    <t xml:space="preserve"> LR_SOM595-AZ89955</t>
  </si>
  <si>
    <t xml:space="preserve">Sindhu Transport From Hyd to sompeta for Barbending Machine ,Cutting Machine ,Vibrator </t>
  </si>
  <si>
    <t xml:space="preserve">Received money from Rajashekar Through Cash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</si>
</sst>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center" vertical="top" wrapText="1"/>
    </xf>
    <xf numFmtId="4" fontId="0" fillId="0" borderId="1" xfId="0" applyNumberFormat="1" applyBorder="1" applyAlignment="1">
      <alignment horizontal="center" vertical="top" wrapText="1"/>
    </xf>
    <xf numFmtId="4" fontId="0" fillId="0" borderId="0" xfId="0" applyNumberFormat="1"/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2" xfId="0" applyBorder="1"/>
    <xf numFmtId="4" fontId="0" fillId="0" borderId="2" xfId="0" applyNumberForma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4" fontId="0" fillId="0" borderId="0" xfId="0" applyNumberFormat="1" applyAlignment="1">
      <alignment horizontal="center" vertical="top" wrapText="1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horizontal="center"/>
    </xf>
    <xf numFmtId="0" fontId="0" fillId="0" borderId="3" xfId="0" applyBorder="1"/>
    <xf numFmtId="4" fontId="0" fillId="0" borderId="3" xfId="0" applyNumberFormat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F707-B984-4748-8DD0-716B59598AD2}">
  <dimension ref="A1:G32"/>
  <sheetViews>
    <sheetView workbookViewId="0">
      <selection activeCell="E21" sqref="E21"/>
    </sheetView>
  </sheetViews>
  <sheetFormatPr defaultRowHeight="15" x14ac:dyDescent="0.25"/>
  <cols>
    <col min="1" max="1" width="14.5703125" customWidth="1"/>
    <col min="2" max="2" width="16.85546875" customWidth="1"/>
    <col min="3" max="3" width="14.85546875" customWidth="1"/>
    <col min="4" max="4" width="52.85546875" customWidth="1"/>
    <col min="5" max="5" width="22.140625" customWidth="1"/>
    <col min="6" max="6" width="18.7109375" customWidth="1"/>
    <col min="7" max="7" width="21.42578125" customWidth="1"/>
  </cols>
  <sheetData>
    <row r="1" spans="1:7" ht="15.75" x14ac:dyDescent="0.25">
      <c r="A1" s="1"/>
      <c r="B1" s="1"/>
      <c r="C1" s="40" t="s">
        <v>0</v>
      </c>
      <c r="D1" s="40"/>
      <c r="E1" s="40"/>
      <c r="F1" s="1"/>
      <c r="G1" s="1"/>
    </row>
    <row r="2" spans="1:7" ht="15.75" x14ac:dyDescent="0.25">
      <c r="A2" s="1"/>
      <c r="B2" s="1"/>
      <c r="C2" s="40" t="s">
        <v>1</v>
      </c>
      <c r="D2" s="40"/>
      <c r="E2" s="40"/>
      <c r="F2" s="1"/>
      <c r="G2" s="1"/>
    </row>
    <row r="3" spans="1:7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x14ac:dyDescent="0.25">
      <c r="A4" s="3"/>
      <c r="B4" s="3"/>
      <c r="C4" s="3"/>
      <c r="D4" s="3"/>
      <c r="E4" s="3"/>
      <c r="F4" s="3"/>
      <c r="G4" s="4">
        <v>3871</v>
      </c>
    </row>
    <row r="5" spans="1:7" ht="30" x14ac:dyDescent="0.25">
      <c r="A5" s="19">
        <v>224</v>
      </c>
      <c r="B5" s="19" t="s">
        <v>22</v>
      </c>
      <c r="C5" s="19"/>
      <c r="D5" s="18" t="s">
        <v>23</v>
      </c>
      <c r="E5" s="19">
        <v>1000</v>
      </c>
      <c r="F5" s="19"/>
      <c r="G5" s="19">
        <f>G4-E5+F5</f>
        <v>2871</v>
      </c>
    </row>
    <row r="6" spans="1:7" x14ac:dyDescent="0.25">
      <c r="A6" s="19">
        <v>225</v>
      </c>
      <c r="B6" s="19" t="s">
        <v>22</v>
      </c>
      <c r="C6" s="19"/>
      <c r="D6" s="1" t="s">
        <v>24</v>
      </c>
      <c r="E6" s="19">
        <v>500</v>
      </c>
      <c r="F6" s="19"/>
      <c r="G6" s="19">
        <f t="shared" ref="G6:G18" si="0">G5-E6+F6</f>
        <v>2371</v>
      </c>
    </row>
    <row r="7" spans="1:7" ht="30" x14ac:dyDescent="0.25">
      <c r="A7" s="19">
        <v>226</v>
      </c>
      <c r="B7" s="19" t="s">
        <v>17</v>
      </c>
      <c r="C7" s="19"/>
      <c r="D7" s="18" t="s">
        <v>25</v>
      </c>
      <c r="E7" s="19">
        <v>1480</v>
      </c>
      <c r="F7" s="19"/>
      <c r="G7" s="19">
        <f t="shared" si="0"/>
        <v>891</v>
      </c>
    </row>
    <row r="8" spans="1:7" x14ac:dyDescent="0.25">
      <c r="A8" s="19">
        <v>227</v>
      </c>
      <c r="B8" s="19" t="s">
        <v>17</v>
      </c>
      <c r="C8" s="19" t="s">
        <v>18</v>
      </c>
      <c r="D8" s="1" t="s">
        <v>26</v>
      </c>
      <c r="E8" s="19">
        <v>200</v>
      </c>
      <c r="F8" s="19"/>
      <c r="G8" s="19">
        <f t="shared" si="0"/>
        <v>691</v>
      </c>
    </row>
    <row r="9" spans="1:7" x14ac:dyDescent="0.25">
      <c r="A9" s="19">
        <v>228</v>
      </c>
      <c r="B9" s="19" t="s">
        <v>17</v>
      </c>
      <c r="C9" s="19"/>
      <c r="D9" s="1" t="s">
        <v>27</v>
      </c>
      <c r="E9" s="19"/>
      <c r="F9" s="19">
        <v>1000</v>
      </c>
      <c r="G9" s="19">
        <f t="shared" si="0"/>
        <v>1691</v>
      </c>
    </row>
    <row r="10" spans="1:7" ht="30" x14ac:dyDescent="0.25">
      <c r="A10" s="19">
        <v>229</v>
      </c>
      <c r="B10" s="19" t="s">
        <v>14</v>
      </c>
      <c r="C10" s="20" t="s">
        <v>29</v>
      </c>
      <c r="D10" s="18" t="s">
        <v>30</v>
      </c>
      <c r="E10" s="19">
        <v>2120</v>
      </c>
      <c r="F10" s="19"/>
      <c r="G10" s="19">
        <f t="shared" si="0"/>
        <v>-429</v>
      </c>
    </row>
    <row r="11" spans="1:7" x14ac:dyDescent="0.25">
      <c r="A11" s="19">
        <v>230</v>
      </c>
      <c r="B11" s="19" t="s">
        <v>14</v>
      </c>
      <c r="C11" s="19"/>
      <c r="D11" s="1" t="s">
        <v>31</v>
      </c>
      <c r="E11" s="19">
        <v>250</v>
      </c>
      <c r="F11" s="19"/>
      <c r="G11" s="19">
        <f t="shared" si="0"/>
        <v>-679</v>
      </c>
    </row>
    <row r="12" spans="1:7" ht="30" x14ac:dyDescent="0.25">
      <c r="A12" s="19">
        <v>231</v>
      </c>
      <c r="B12" s="19" t="s">
        <v>9</v>
      </c>
      <c r="C12" s="19" t="s">
        <v>20</v>
      </c>
      <c r="D12" s="18" t="s">
        <v>32</v>
      </c>
      <c r="E12" s="19">
        <v>110</v>
      </c>
      <c r="F12" s="19"/>
      <c r="G12" s="19">
        <f t="shared" si="0"/>
        <v>-789</v>
      </c>
    </row>
    <row r="13" spans="1:7" x14ac:dyDescent="0.25">
      <c r="A13" s="19">
        <v>232</v>
      </c>
      <c r="B13" s="19" t="s">
        <v>14</v>
      </c>
      <c r="C13" s="19" t="s">
        <v>21</v>
      </c>
      <c r="D13" s="1" t="s">
        <v>33</v>
      </c>
      <c r="E13" s="19">
        <v>200</v>
      </c>
      <c r="F13" s="19"/>
      <c r="G13" s="19">
        <f t="shared" si="0"/>
        <v>-989</v>
      </c>
    </row>
    <row r="14" spans="1:7" x14ac:dyDescent="0.25">
      <c r="A14" s="19">
        <v>233</v>
      </c>
      <c r="B14" s="19" t="s">
        <v>14</v>
      </c>
      <c r="C14" s="19"/>
      <c r="D14" s="1" t="s">
        <v>34</v>
      </c>
      <c r="E14" s="19"/>
      <c r="F14" s="19">
        <v>5000</v>
      </c>
      <c r="G14" s="19">
        <f t="shared" si="0"/>
        <v>4011</v>
      </c>
    </row>
    <row r="15" spans="1:7" x14ac:dyDescent="0.25">
      <c r="A15" s="19">
        <v>234</v>
      </c>
      <c r="B15" s="19" t="s">
        <v>15</v>
      </c>
      <c r="C15" s="19"/>
      <c r="D15" s="1" t="s">
        <v>35</v>
      </c>
      <c r="E15" s="19">
        <v>480</v>
      </c>
      <c r="F15" s="19"/>
      <c r="G15" s="19">
        <f t="shared" si="0"/>
        <v>3531</v>
      </c>
    </row>
    <row r="16" spans="1:7" x14ac:dyDescent="0.25">
      <c r="A16" s="19">
        <v>235</v>
      </c>
      <c r="B16" s="19" t="s">
        <v>16</v>
      </c>
      <c r="C16" s="19"/>
      <c r="D16" s="1" t="s">
        <v>36</v>
      </c>
      <c r="E16" s="19">
        <v>120</v>
      </c>
      <c r="F16" s="19"/>
      <c r="G16" s="19">
        <f t="shared" si="0"/>
        <v>3411</v>
      </c>
    </row>
    <row r="17" spans="1:7" x14ac:dyDescent="0.25">
      <c r="A17" s="19"/>
      <c r="B17" s="19"/>
      <c r="C17" s="19"/>
      <c r="D17" s="1"/>
      <c r="E17" s="19"/>
      <c r="F17" s="19"/>
      <c r="G17" s="19">
        <f t="shared" si="0"/>
        <v>3411</v>
      </c>
    </row>
    <row r="18" spans="1:7" x14ac:dyDescent="0.25">
      <c r="A18" s="19"/>
      <c r="B18" s="19"/>
      <c r="C18" s="19"/>
      <c r="D18" s="1"/>
      <c r="E18" s="19"/>
      <c r="F18" s="19"/>
      <c r="G18" s="19">
        <f t="shared" si="0"/>
        <v>3411</v>
      </c>
    </row>
    <row r="19" spans="1:7" x14ac:dyDescent="0.25">
      <c r="A19" s="19"/>
      <c r="B19" s="19"/>
      <c r="C19" s="19"/>
      <c r="D19" s="9" t="s">
        <v>10</v>
      </c>
      <c r="E19" s="19">
        <f>SUM(E5:E18)</f>
        <v>6460</v>
      </c>
      <c r="F19" s="19">
        <v>6000</v>
      </c>
      <c r="G19" s="19">
        <f>G18-E18+F18</f>
        <v>3411</v>
      </c>
    </row>
    <row r="20" spans="1:7" x14ac:dyDescent="0.25">
      <c r="A20" s="19"/>
      <c r="B20" s="19"/>
      <c r="C20" s="19"/>
      <c r="D20" s="1"/>
      <c r="E20" s="1"/>
      <c r="F20" s="1"/>
      <c r="G20" s="1"/>
    </row>
    <row r="21" spans="1:7" x14ac:dyDescent="0.25">
      <c r="A21" s="8"/>
      <c r="B21" s="8"/>
      <c r="C21" s="8"/>
    </row>
    <row r="22" spans="1:7" x14ac:dyDescent="0.25">
      <c r="A22" s="8"/>
      <c r="B22" s="8"/>
      <c r="C22" s="8"/>
    </row>
    <row r="23" spans="1:7" x14ac:dyDescent="0.25">
      <c r="A23" s="8"/>
      <c r="B23" s="8"/>
      <c r="C23" s="8"/>
    </row>
    <row r="24" spans="1:7" x14ac:dyDescent="0.25">
      <c r="A24" s="10"/>
      <c r="B24" s="10"/>
      <c r="C24" s="10"/>
      <c r="D24" s="10"/>
      <c r="E24" s="10"/>
      <c r="F24" s="10"/>
      <c r="G24" s="10"/>
    </row>
    <row r="25" spans="1:7" x14ac:dyDescent="0.25">
      <c r="A25" s="7"/>
      <c r="B25" s="7"/>
      <c r="C25" s="7"/>
      <c r="D25" s="22" t="s">
        <v>11</v>
      </c>
      <c r="E25" s="7"/>
      <c r="F25" s="7"/>
      <c r="G25" s="7"/>
    </row>
    <row r="26" spans="1:7" x14ac:dyDescent="0.25">
      <c r="A26" s="41"/>
      <c r="B26" s="41"/>
      <c r="C26" s="41"/>
      <c r="D26" s="22" t="s">
        <v>12</v>
      </c>
      <c r="E26" s="41"/>
      <c r="F26" s="41"/>
      <c r="G26" s="41"/>
    </row>
    <row r="27" spans="1:7" x14ac:dyDescent="0.25">
      <c r="A27" s="2" t="s">
        <v>2</v>
      </c>
      <c r="B27" s="2" t="s">
        <v>3</v>
      </c>
      <c r="C27" s="2" t="s">
        <v>4</v>
      </c>
      <c r="D27" s="2" t="s">
        <v>5</v>
      </c>
      <c r="E27" s="2" t="s">
        <v>6</v>
      </c>
      <c r="F27" s="2" t="s">
        <v>7</v>
      </c>
      <c r="G27" s="2" t="s">
        <v>8</v>
      </c>
    </row>
    <row r="28" spans="1:7" x14ac:dyDescent="0.25">
      <c r="A28" s="23"/>
      <c r="B28" s="23"/>
      <c r="C28" s="23"/>
      <c r="D28" s="24"/>
      <c r="E28" s="24"/>
      <c r="F28" s="24"/>
      <c r="G28" s="23">
        <v>3411</v>
      </c>
    </row>
    <row r="29" spans="1:7" x14ac:dyDescent="0.25">
      <c r="A29" s="19">
        <v>236</v>
      </c>
      <c r="B29" s="19" t="s">
        <v>14</v>
      </c>
      <c r="C29" s="19" t="s">
        <v>19</v>
      </c>
      <c r="D29" s="1" t="s">
        <v>28</v>
      </c>
      <c r="E29" s="19">
        <v>130</v>
      </c>
      <c r="F29" s="19"/>
      <c r="G29" s="11">
        <f>G28-E29+F29</f>
        <v>3281</v>
      </c>
    </row>
    <row r="30" spans="1:7" x14ac:dyDescent="0.25">
      <c r="A30" s="19">
        <v>237</v>
      </c>
      <c r="B30" s="19" t="s">
        <v>14</v>
      </c>
      <c r="C30" s="19"/>
      <c r="D30" s="18" t="s">
        <v>37</v>
      </c>
      <c r="E30" s="19">
        <v>1100</v>
      </c>
      <c r="F30" s="7"/>
      <c r="G30" s="11">
        <f t="shared" ref="G30:G31" si="1">G29-E30+F30</f>
        <v>2181</v>
      </c>
    </row>
    <row r="31" spans="1:7" x14ac:dyDescent="0.25">
      <c r="A31" s="5"/>
      <c r="B31" s="13"/>
      <c r="C31" s="6"/>
      <c r="D31" s="6"/>
      <c r="E31" s="21"/>
      <c r="F31" s="12"/>
      <c r="G31" s="11">
        <f t="shared" si="1"/>
        <v>2181</v>
      </c>
    </row>
    <row r="32" spans="1:7" x14ac:dyDescent="0.25">
      <c r="A32" s="5"/>
      <c r="B32" s="14"/>
      <c r="C32" s="15"/>
      <c r="D32" s="15" t="s">
        <v>13</v>
      </c>
      <c r="E32" s="16">
        <f>SUM(E29:E31)</f>
        <v>1230</v>
      </c>
      <c r="F32" s="16"/>
      <c r="G32" s="17">
        <f>G31-E31+F31</f>
        <v>2181</v>
      </c>
    </row>
  </sheetData>
  <autoFilter ref="A3:G3" xr:uid="{1252F707-B984-4748-8DD0-716B59598AD2}"/>
  <mergeCells count="4">
    <mergeCell ref="C1:E1"/>
    <mergeCell ref="C2:E2"/>
    <mergeCell ref="A26:C26"/>
    <mergeCell ref="E26:G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B1CF-979D-4909-98A4-84B992A64CC3}">
  <dimension ref="A1:M39"/>
  <sheetViews>
    <sheetView workbookViewId="0">
      <selection activeCell="G28" sqref="G28"/>
    </sheetView>
  </sheetViews>
  <sheetFormatPr defaultRowHeight="15" x14ac:dyDescent="0.25"/>
  <cols>
    <col min="1" max="1" width="13.28515625" customWidth="1"/>
    <col min="2" max="2" width="13.140625" customWidth="1"/>
    <col min="3" max="3" width="11.28515625" customWidth="1"/>
    <col min="4" max="4" width="56" customWidth="1"/>
    <col min="5" max="5" width="24" customWidth="1"/>
    <col min="6" max="6" width="16.42578125" customWidth="1"/>
    <col min="7" max="7" width="14.5703125" customWidth="1"/>
  </cols>
  <sheetData>
    <row r="1" spans="1:13" ht="15.75" x14ac:dyDescent="0.25">
      <c r="A1" s="1"/>
      <c r="B1" s="1"/>
      <c r="C1" s="40" t="s">
        <v>0</v>
      </c>
      <c r="D1" s="40"/>
      <c r="E1" s="40"/>
      <c r="F1" s="1"/>
      <c r="G1" s="1"/>
    </row>
    <row r="2" spans="1:13" ht="15.75" x14ac:dyDescent="0.25">
      <c r="A2" s="1"/>
      <c r="B2" s="1"/>
      <c r="C2" s="40" t="s">
        <v>1</v>
      </c>
      <c r="D2" s="40"/>
      <c r="E2" s="40"/>
      <c r="F2" s="1"/>
      <c r="G2" s="1"/>
    </row>
    <row r="3" spans="1:13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13" x14ac:dyDescent="0.25">
      <c r="A4" s="3"/>
      <c r="B4" s="3"/>
      <c r="C4" s="3"/>
      <c r="D4" s="3"/>
      <c r="E4" s="3"/>
      <c r="F4" s="3">
        <v>2181</v>
      </c>
      <c r="G4" s="4">
        <v>2181</v>
      </c>
      <c r="M4" t="s">
        <v>82</v>
      </c>
    </row>
    <row r="5" spans="1:13" x14ac:dyDescent="0.25">
      <c r="A5" s="25" t="s">
        <v>38</v>
      </c>
      <c r="B5" s="25" t="s">
        <v>39</v>
      </c>
      <c r="C5" s="25"/>
      <c r="D5" s="6" t="s">
        <v>40</v>
      </c>
      <c r="E5" s="26">
        <v>1200</v>
      </c>
      <c r="F5" s="26"/>
      <c r="G5" s="26">
        <f>G4-E5+F5</f>
        <v>981</v>
      </c>
    </row>
    <row r="6" spans="1:13" ht="30" x14ac:dyDescent="0.25">
      <c r="A6" s="25" t="s">
        <v>41</v>
      </c>
      <c r="B6" s="25" t="s">
        <v>42</v>
      </c>
      <c r="C6" s="25"/>
      <c r="D6" s="6" t="s">
        <v>43</v>
      </c>
      <c r="E6" s="26">
        <v>4500</v>
      </c>
      <c r="F6" s="26"/>
      <c r="G6" s="26">
        <f t="shared" ref="G6:G26" si="0">G5-E6+F6</f>
        <v>-3519</v>
      </c>
    </row>
    <row r="7" spans="1:13" ht="30" x14ac:dyDescent="0.25">
      <c r="A7" s="25" t="s">
        <v>44</v>
      </c>
      <c r="B7" s="25" t="s">
        <v>42</v>
      </c>
      <c r="C7" s="25" t="s">
        <v>45</v>
      </c>
      <c r="D7" s="6" t="s">
        <v>46</v>
      </c>
      <c r="E7" s="26">
        <v>500</v>
      </c>
      <c r="F7" s="26"/>
      <c r="G7" s="26">
        <f t="shared" si="0"/>
        <v>-4019</v>
      </c>
    </row>
    <row r="8" spans="1:13" ht="30" customHeight="1" x14ac:dyDescent="0.25">
      <c r="A8" s="25" t="s">
        <v>47</v>
      </c>
      <c r="B8" s="25" t="s">
        <v>42</v>
      </c>
      <c r="C8" s="25"/>
      <c r="D8" s="6" t="s">
        <v>48</v>
      </c>
      <c r="E8" s="26"/>
      <c r="F8" s="26">
        <v>5000</v>
      </c>
      <c r="G8" s="26">
        <f t="shared" si="0"/>
        <v>981</v>
      </c>
    </row>
    <row r="9" spans="1:13" x14ac:dyDescent="0.25">
      <c r="A9" s="25" t="s">
        <v>49</v>
      </c>
      <c r="B9" s="25" t="s">
        <v>50</v>
      </c>
      <c r="C9" s="25" t="s">
        <v>51</v>
      </c>
      <c r="D9" s="6" t="s">
        <v>52</v>
      </c>
      <c r="E9" s="26">
        <v>2600</v>
      </c>
      <c r="F9" s="26"/>
      <c r="G9" s="26">
        <f t="shared" si="0"/>
        <v>-1619</v>
      </c>
    </row>
    <row r="10" spans="1:13" ht="30" customHeight="1" x14ac:dyDescent="0.25">
      <c r="A10" s="25" t="s">
        <v>53</v>
      </c>
      <c r="B10" s="25" t="s">
        <v>50</v>
      </c>
      <c r="C10" s="25" t="s">
        <v>54</v>
      </c>
      <c r="D10" s="6" t="s">
        <v>55</v>
      </c>
      <c r="E10" s="26">
        <v>800</v>
      </c>
      <c r="F10" s="26"/>
      <c r="G10" s="26">
        <f t="shared" si="0"/>
        <v>-2419</v>
      </c>
    </row>
    <row r="11" spans="1:13" ht="30" x14ac:dyDescent="0.25">
      <c r="A11" s="25" t="s">
        <v>56</v>
      </c>
      <c r="B11" s="25" t="s">
        <v>50</v>
      </c>
      <c r="C11" s="25"/>
      <c r="D11" s="6" t="s">
        <v>57</v>
      </c>
      <c r="E11" s="26">
        <v>8600</v>
      </c>
      <c r="F11" s="26"/>
      <c r="G11" s="26">
        <f t="shared" si="0"/>
        <v>-11019</v>
      </c>
    </row>
    <row r="12" spans="1:13" x14ac:dyDescent="0.25">
      <c r="A12" s="25" t="s">
        <v>58</v>
      </c>
      <c r="B12" s="25" t="s">
        <v>50</v>
      </c>
      <c r="C12" s="25"/>
      <c r="D12" s="6" t="s">
        <v>59</v>
      </c>
      <c r="E12" s="26"/>
      <c r="F12" s="26">
        <v>5000</v>
      </c>
      <c r="G12" s="26">
        <f t="shared" si="0"/>
        <v>-6019</v>
      </c>
    </row>
    <row r="13" spans="1:13" x14ac:dyDescent="0.25">
      <c r="A13" s="25" t="s">
        <v>60</v>
      </c>
      <c r="B13" s="25" t="s">
        <v>50</v>
      </c>
      <c r="C13" s="25"/>
      <c r="D13" s="6" t="s">
        <v>48</v>
      </c>
      <c r="E13" s="26"/>
      <c r="F13" s="26">
        <v>5000</v>
      </c>
      <c r="G13" s="26">
        <f t="shared" si="0"/>
        <v>-1019</v>
      </c>
    </row>
    <row r="14" spans="1:13" ht="30" x14ac:dyDescent="0.25">
      <c r="A14" s="25" t="s">
        <v>61</v>
      </c>
      <c r="B14" s="25" t="s">
        <v>50</v>
      </c>
      <c r="C14" s="25"/>
      <c r="D14" s="6" t="s">
        <v>62</v>
      </c>
      <c r="E14" s="26"/>
      <c r="F14" s="26">
        <v>2000</v>
      </c>
      <c r="G14" s="26">
        <f t="shared" si="0"/>
        <v>981</v>
      </c>
    </row>
    <row r="15" spans="1:13" ht="45" customHeight="1" x14ac:dyDescent="0.25">
      <c r="A15" s="25" t="s">
        <v>63</v>
      </c>
      <c r="B15" s="25" t="s">
        <v>64</v>
      </c>
      <c r="C15" s="25" t="s">
        <v>65</v>
      </c>
      <c r="D15" s="6" t="s">
        <v>66</v>
      </c>
      <c r="E15" s="26">
        <v>800</v>
      </c>
      <c r="F15" s="26"/>
      <c r="G15" s="26">
        <f t="shared" si="0"/>
        <v>181</v>
      </c>
    </row>
    <row r="16" spans="1:13" x14ac:dyDescent="0.25">
      <c r="A16" s="25" t="s">
        <v>67</v>
      </c>
      <c r="B16" s="25" t="s">
        <v>64</v>
      </c>
      <c r="C16" s="25"/>
      <c r="D16" s="6" t="s">
        <v>59</v>
      </c>
      <c r="E16" s="26"/>
      <c r="F16" s="26">
        <v>2000</v>
      </c>
      <c r="G16" s="26">
        <f t="shared" si="0"/>
        <v>2181</v>
      </c>
    </row>
    <row r="17" spans="1:9" x14ac:dyDescent="0.25">
      <c r="A17" s="25" t="s">
        <v>68</v>
      </c>
      <c r="B17" s="25" t="s">
        <v>64</v>
      </c>
      <c r="C17" s="25"/>
      <c r="D17" s="6" t="s">
        <v>69</v>
      </c>
      <c r="E17" s="26">
        <v>300</v>
      </c>
      <c r="F17" s="26"/>
      <c r="G17" s="26">
        <f t="shared" si="0"/>
        <v>1881</v>
      </c>
    </row>
    <row r="18" spans="1:9" x14ac:dyDescent="0.25">
      <c r="A18" s="25" t="s">
        <v>70</v>
      </c>
      <c r="B18" s="25" t="s">
        <v>71</v>
      </c>
      <c r="C18" s="25"/>
      <c r="D18" s="6" t="s">
        <v>79</v>
      </c>
      <c r="E18" s="26">
        <v>720</v>
      </c>
      <c r="F18" s="26"/>
      <c r="G18" s="26">
        <f t="shared" si="0"/>
        <v>1161</v>
      </c>
    </row>
    <row r="19" spans="1:9" x14ac:dyDescent="0.25">
      <c r="A19" s="25" t="s">
        <v>72</v>
      </c>
      <c r="B19" s="25" t="s">
        <v>71</v>
      </c>
      <c r="C19" s="25">
        <v>4</v>
      </c>
      <c r="D19" s="6" t="s">
        <v>73</v>
      </c>
      <c r="E19" s="26">
        <v>400</v>
      </c>
      <c r="F19" s="26"/>
      <c r="G19" s="26">
        <f t="shared" si="0"/>
        <v>761</v>
      </c>
    </row>
    <row r="20" spans="1:9" x14ac:dyDescent="0.25">
      <c r="A20" s="25" t="s">
        <v>74</v>
      </c>
      <c r="B20" s="25" t="s">
        <v>71</v>
      </c>
      <c r="C20" s="25"/>
      <c r="D20" s="6" t="s">
        <v>59</v>
      </c>
      <c r="E20" s="26"/>
      <c r="F20" s="26">
        <v>5000</v>
      </c>
      <c r="G20" s="26">
        <f t="shared" si="0"/>
        <v>5761</v>
      </c>
    </row>
    <row r="21" spans="1:9" x14ac:dyDescent="0.25">
      <c r="A21" s="25" t="s">
        <v>76</v>
      </c>
      <c r="B21" s="25" t="s">
        <v>71</v>
      </c>
      <c r="C21" s="25"/>
      <c r="D21" s="6" t="s">
        <v>78</v>
      </c>
      <c r="E21" s="26"/>
      <c r="F21" s="26">
        <v>1340</v>
      </c>
      <c r="G21" s="26">
        <f t="shared" si="0"/>
        <v>7101</v>
      </c>
    </row>
    <row r="22" spans="1:9" x14ac:dyDescent="0.25">
      <c r="A22" s="25" t="s">
        <v>84</v>
      </c>
      <c r="B22" s="25" t="s">
        <v>75</v>
      </c>
      <c r="C22" s="1"/>
      <c r="D22" s="6" t="s">
        <v>80</v>
      </c>
      <c r="E22" s="19">
        <f>100*17</f>
        <v>1700</v>
      </c>
      <c r="F22" s="19"/>
      <c r="G22" s="26">
        <f t="shared" si="0"/>
        <v>5401</v>
      </c>
    </row>
    <row r="23" spans="1:9" ht="30" x14ac:dyDescent="0.25">
      <c r="A23" s="14" t="s">
        <v>77</v>
      </c>
      <c r="B23" s="14" t="s">
        <v>75</v>
      </c>
      <c r="C23" s="34">
        <v>2868125075</v>
      </c>
      <c r="D23" s="6" t="s">
        <v>85</v>
      </c>
      <c r="E23" s="7">
        <v>1660</v>
      </c>
      <c r="F23" s="19"/>
      <c r="G23" s="26">
        <f t="shared" si="0"/>
        <v>3741</v>
      </c>
    </row>
    <row r="24" spans="1:9" x14ac:dyDescent="0.25">
      <c r="A24" s="25">
        <v>262</v>
      </c>
      <c r="B24" s="19" t="s">
        <v>75</v>
      </c>
      <c r="C24" s="19">
        <v>505</v>
      </c>
      <c r="D24" s="1" t="s">
        <v>86</v>
      </c>
      <c r="E24" s="7">
        <v>250</v>
      </c>
      <c r="F24" s="1"/>
      <c r="G24" s="26">
        <f t="shared" si="0"/>
        <v>3491</v>
      </c>
      <c r="I24" s="27"/>
    </row>
    <row r="25" spans="1:9" x14ac:dyDescent="0.25">
      <c r="A25" s="25"/>
      <c r="B25" s="19"/>
      <c r="C25" s="19"/>
      <c r="D25" s="1"/>
      <c r="E25" s="1"/>
      <c r="F25" s="1"/>
      <c r="G25" s="26">
        <f t="shared" si="0"/>
        <v>3491</v>
      </c>
    </row>
    <row r="26" spans="1:9" x14ac:dyDescent="0.25">
      <c r="A26" s="25"/>
      <c r="B26" s="19"/>
      <c r="C26" s="19"/>
      <c r="D26" s="1"/>
      <c r="E26" s="1"/>
      <c r="F26" s="1"/>
      <c r="G26" s="26">
        <f t="shared" si="0"/>
        <v>3491</v>
      </c>
    </row>
    <row r="27" spans="1:9" x14ac:dyDescent="0.25">
      <c r="A27" s="25"/>
      <c r="B27" s="19"/>
      <c r="C27" s="19"/>
      <c r="D27" s="1"/>
      <c r="E27" s="1"/>
      <c r="F27" s="1"/>
      <c r="G27" s="26">
        <f>G26-E27+F27</f>
        <v>3491</v>
      </c>
    </row>
    <row r="28" spans="1:9" x14ac:dyDescent="0.25">
      <c r="A28" s="25"/>
      <c r="B28" s="19"/>
      <c r="C28" s="19"/>
      <c r="D28" s="9" t="s">
        <v>81</v>
      </c>
      <c r="E28" s="17">
        <f>SUM(E5:E26)</f>
        <v>24030</v>
      </c>
      <c r="F28" s="17">
        <f>SUM(F4:F23)</f>
        <v>27521</v>
      </c>
      <c r="G28" s="26">
        <f>G27-E27+F27</f>
        <v>3491</v>
      </c>
    </row>
    <row r="29" spans="1:9" x14ac:dyDescent="0.25">
      <c r="A29" s="35"/>
      <c r="B29" s="36"/>
      <c r="C29" s="36"/>
      <c r="D29" s="37"/>
      <c r="E29" s="37"/>
      <c r="F29" s="37"/>
      <c r="G29" s="38"/>
    </row>
    <row r="30" spans="1:9" x14ac:dyDescent="0.25">
      <c r="A30" s="32"/>
      <c r="B30" s="8"/>
      <c r="C30" s="8"/>
      <c r="G30" s="33"/>
    </row>
    <row r="31" spans="1:9" x14ac:dyDescent="0.25">
      <c r="A31" s="28"/>
      <c r="B31" s="29"/>
      <c r="C31" s="29"/>
      <c r="D31" s="39" t="s">
        <v>11</v>
      </c>
      <c r="E31" s="30"/>
      <c r="F31" s="30"/>
      <c r="G31" s="31"/>
    </row>
    <row r="32" spans="1:9" x14ac:dyDescent="0.25">
      <c r="A32" s="25"/>
      <c r="B32" s="19"/>
      <c r="C32" s="19"/>
      <c r="D32" s="22" t="s">
        <v>12</v>
      </c>
      <c r="E32" s="1"/>
      <c r="F32" s="1"/>
      <c r="G32" s="26"/>
    </row>
    <row r="33" spans="1:7" x14ac:dyDescent="0.25">
      <c r="A33" s="2" t="s">
        <v>2</v>
      </c>
      <c r="B33" s="2" t="s">
        <v>3</v>
      </c>
      <c r="C33" s="2" t="s">
        <v>4</v>
      </c>
      <c r="D33" s="2" t="s">
        <v>5</v>
      </c>
      <c r="E33" s="2" t="s">
        <v>6</v>
      </c>
      <c r="F33" s="2" t="s">
        <v>7</v>
      </c>
      <c r="G33" s="2" t="s">
        <v>8</v>
      </c>
    </row>
    <row r="34" spans="1:7" x14ac:dyDescent="0.25">
      <c r="A34" s="23"/>
      <c r="B34" s="23"/>
      <c r="C34" s="23"/>
      <c r="D34" s="24"/>
      <c r="E34" s="24"/>
      <c r="F34" s="24"/>
      <c r="G34" s="23"/>
    </row>
    <row r="35" spans="1:7" ht="30" x14ac:dyDescent="0.25">
      <c r="A35" s="19">
        <v>262</v>
      </c>
      <c r="B35" s="19" t="s">
        <v>75</v>
      </c>
      <c r="C35" s="19">
        <v>505</v>
      </c>
      <c r="D35" s="18" t="s">
        <v>83</v>
      </c>
      <c r="E35" s="19">
        <v>2790</v>
      </c>
      <c r="F35" s="19"/>
      <c r="G35" s="11"/>
    </row>
    <row r="36" spans="1:7" x14ac:dyDescent="0.25">
      <c r="A36" s="19"/>
      <c r="B36" s="19"/>
      <c r="C36" s="19"/>
      <c r="D36" s="18"/>
      <c r="E36" s="19"/>
      <c r="F36" s="7"/>
      <c r="G36" s="11"/>
    </row>
    <row r="37" spans="1:7" x14ac:dyDescent="0.25">
      <c r="A37" s="5"/>
      <c r="B37" s="13"/>
      <c r="C37" s="6"/>
      <c r="D37" s="6"/>
      <c r="E37" s="21"/>
      <c r="F37" s="12"/>
      <c r="G37" s="11"/>
    </row>
    <row r="38" spans="1:7" x14ac:dyDescent="0.25">
      <c r="A38" s="5"/>
      <c r="B38" s="14"/>
      <c r="C38" s="15"/>
      <c r="D38" s="15" t="s">
        <v>13</v>
      </c>
      <c r="E38" s="16">
        <f>SUM(E35:E37)</f>
        <v>2790</v>
      </c>
      <c r="F38" s="16"/>
      <c r="G38" s="17">
        <f>G37-E37+F37</f>
        <v>0</v>
      </c>
    </row>
    <row r="39" spans="1:7" x14ac:dyDescent="0.25">
      <c r="A39" s="1"/>
      <c r="B39" s="1"/>
      <c r="C39" s="1"/>
      <c r="D39" s="1"/>
      <c r="E39" s="1"/>
      <c r="F39" s="1"/>
      <c r="G39" s="1"/>
    </row>
  </sheetData>
  <autoFilter ref="A3:G3" xr:uid="{6DB2B1CF-979D-4909-98A4-84B992A64CC3}"/>
  <mergeCells count="2">
    <mergeCell ref="C1:E1"/>
    <mergeCell ref="C2:E2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5BEB-1971-4CF5-9919-1591BDBFA25A}">
  <sheetPr>
    <pageSetUpPr fitToPage="1"/>
  </sheetPr>
  <dimension ref="A1:M31"/>
  <sheetViews>
    <sheetView topLeftCell="A5" workbookViewId="0">
      <selection sqref="A1:G31"/>
    </sheetView>
  </sheetViews>
  <sheetFormatPr defaultRowHeight="15" x14ac:dyDescent="0.25"/>
  <cols>
    <col min="1" max="1" width="9.7109375" bestFit="1" customWidth="1"/>
    <col min="2" max="2" width="10.42578125" bestFit="1" customWidth="1"/>
    <col min="3" max="3" width="18.5703125" bestFit="1" customWidth="1"/>
    <col min="4" max="4" width="93.85546875" bestFit="1" customWidth="1"/>
    <col min="5" max="5" width="15.140625" bestFit="1" customWidth="1"/>
    <col min="6" max="6" width="15" bestFit="1" customWidth="1"/>
    <col min="7" max="7" width="12.42578125" bestFit="1" customWidth="1"/>
  </cols>
  <sheetData>
    <row r="1" spans="1:13" ht="15.75" x14ac:dyDescent="0.25">
      <c r="A1" s="1"/>
      <c r="B1" s="1"/>
      <c r="C1" s="40" t="s">
        <v>0</v>
      </c>
      <c r="D1" s="40"/>
      <c r="E1" s="40"/>
      <c r="F1" s="1"/>
      <c r="G1" s="1"/>
    </row>
    <row r="2" spans="1:13" ht="15.75" x14ac:dyDescent="0.25">
      <c r="A2" s="1"/>
      <c r="B2" s="1"/>
      <c r="C2" s="40" t="s">
        <v>1</v>
      </c>
      <c r="D2" s="40"/>
      <c r="E2" s="40"/>
      <c r="F2" s="1"/>
      <c r="G2" s="1"/>
    </row>
    <row r="3" spans="1:13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13" x14ac:dyDescent="0.25">
      <c r="A4" s="3"/>
      <c r="B4" s="3"/>
      <c r="C4" s="3"/>
      <c r="D4" s="3"/>
      <c r="E4" s="3"/>
      <c r="F4" s="3">
        <v>3491</v>
      </c>
      <c r="G4" s="4">
        <v>3491</v>
      </c>
    </row>
    <row r="5" spans="1:13" x14ac:dyDescent="0.25">
      <c r="A5" s="19" t="s">
        <v>87</v>
      </c>
      <c r="B5" s="1" t="s">
        <v>88</v>
      </c>
      <c r="C5" s="19"/>
      <c r="D5" s="1" t="s">
        <v>89</v>
      </c>
      <c r="E5" s="19">
        <v>169</v>
      </c>
      <c r="F5" s="19"/>
      <c r="G5" s="19">
        <f>G4-E5+F5</f>
        <v>3322</v>
      </c>
    </row>
    <row r="6" spans="1:13" x14ac:dyDescent="0.25">
      <c r="A6" s="19" t="s">
        <v>90</v>
      </c>
      <c r="B6" s="1" t="s">
        <v>91</v>
      </c>
      <c r="C6" s="19"/>
      <c r="D6" s="1" t="s">
        <v>92</v>
      </c>
      <c r="E6" s="19">
        <v>360</v>
      </c>
      <c r="F6" s="19"/>
      <c r="G6" s="19">
        <f t="shared" ref="G6:G19" si="0">G5-E6+F6</f>
        <v>2962</v>
      </c>
    </row>
    <row r="7" spans="1:13" x14ac:dyDescent="0.25">
      <c r="A7" s="19" t="s">
        <v>93</v>
      </c>
      <c r="B7" s="1"/>
      <c r="C7" s="19"/>
      <c r="D7" s="1"/>
      <c r="E7" s="19"/>
      <c r="F7" s="19"/>
      <c r="G7" s="19">
        <f t="shared" si="0"/>
        <v>2962</v>
      </c>
    </row>
    <row r="8" spans="1:13" x14ac:dyDescent="0.25">
      <c r="A8" s="19" t="s">
        <v>95</v>
      </c>
      <c r="B8" s="1" t="s">
        <v>91</v>
      </c>
      <c r="C8" s="19" t="s">
        <v>96</v>
      </c>
      <c r="D8" s="1" t="s">
        <v>97</v>
      </c>
      <c r="E8" s="19">
        <v>229</v>
      </c>
      <c r="F8" s="19"/>
      <c r="G8" s="19">
        <f t="shared" si="0"/>
        <v>2733</v>
      </c>
    </row>
    <row r="9" spans="1:13" x14ac:dyDescent="0.25">
      <c r="A9" s="19" t="s">
        <v>98</v>
      </c>
      <c r="B9" s="1" t="s">
        <v>91</v>
      </c>
      <c r="C9" s="19" t="s">
        <v>99</v>
      </c>
      <c r="D9" s="1" t="s">
        <v>119</v>
      </c>
      <c r="E9" s="19">
        <v>3000</v>
      </c>
      <c r="F9" s="19"/>
      <c r="G9" s="19">
        <f t="shared" si="0"/>
        <v>-267</v>
      </c>
    </row>
    <row r="10" spans="1:13" x14ac:dyDescent="0.25">
      <c r="A10" s="19" t="s">
        <v>100</v>
      </c>
      <c r="B10" s="1" t="s">
        <v>91</v>
      </c>
      <c r="C10" s="19" t="s">
        <v>101</v>
      </c>
      <c r="D10" s="1" t="s">
        <v>102</v>
      </c>
      <c r="E10" s="19">
        <v>350</v>
      </c>
      <c r="F10" s="19"/>
      <c r="G10" s="19">
        <f t="shared" si="0"/>
        <v>-617</v>
      </c>
    </row>
    <row r="11" spans="1:13" x14ac:dyDescent="0.25">
      <c r="A11" s="19" t="s">
        <v>103</v>
      </c>
      <c r="B11" s="1" t="s">
        <v>91</v>
      </c>
      <c r="C11" s="19"/>
      <c r="D11" s="1" t="s">
        <v>104</v>
      </c>
      <c r="E11" s="19"/>
      <c r="F11" s="19">
        <v>1000</v>
      </c>
      <c r="G11" s="19">
        <f t="shared" si="0"/>
        <v>383</v>
      </c>
    </row>
    <row r="12" spans="1:13" x14ac:dyDescent="0.25">
      <c r="A12" s="19" t="s">
        <v>105</v>
      </c>
      <c r="B12" s="1" t="s">
        <v>91</v>
      </c>
      <c r="C12" s="19"/>
      <c r="D12" s="1" t="s">
        <v>59</v>
      </c>
      <c r="E12" s="19"/>
      <c r="F12" s="19">
        <v>2000</v>
      </c>
      <c r="G12" s="19">
        <f t="shared" si="0"/>
        <v>2383</v>
      </c>
      <c r="M12" t="s">
        <v>118</v>
      </c>
    </row>
    <row r="13" spans="1:13" x14ac:dyDescent="0.25">
      <c r="A13" s="19" t="s">
        <v>106</v>
      </c>
      <c r="B13" s="1" t="s">
        <v>107</v>
      </c>
      <c r="C13" s="19" t="s">
        <v>108</v>
      </c>
      <c r="D13" s="1" t="s">
        <v>109</v>
      </c>
      <c r="E13" s="19">
        <v>265</v>
      </c>
      <c r="F13" s="19"/>
      <c r="G13" s="19">
        <f t="shared" si="0"/>
        <v>2118</v>
      </c>
    </row>
    <row r="14" spans="1:13" x14ac:dyDescent="0.25">
      <c r="A14" s="19" t="s">
        <v>110</v>
      </c>
      <c r="B14" s="1" t="s">
        <v>111</v>
      </c>
      <c r="C14" s="19"/>
      <c r="D14" s="1" t="s">
        <v>112</v>
      </c>
      <c r="E14" s="19">
        <v>2000</v>
      </c>
      <c r="F14" s="19"/>
      <c r="G14" s="19">
        <f t="shared" si="0"/>
        <v>118</v>
      </c>
    </row>
    <row r="15" spans="1:13" x14ac:dyDescent="0.25">
      <c r="A15" s="19" t="s">
        <v>113</v>
      </c>
      <c r="B15" s="1" t="s">
        <v>111</v>
      </c>
      <c r="C15" s="19"/>
      <c r="D15" s="1" t="s">
        <v>104</v>
      </c>
      <c r="E15" s="19"/>
      <c r="F15" s="19">
        <v>2000</v>
      </c>
      <c r="G15" s="19">
        <f t="shared" si="0"/>
        <v>2118</v>
      </c>
    </row>
    <row r="16" spans="1:13" x14ac:dyDescent="0.25">
      <c r="A16" s="19" t="s">
        <v>114</v>
      </c>
      <c r="B16" s="1" t="s">
        <v>115</v>
      </c>
      <c r="C16" s="19" t="s">
        <v>116</v>
      </c>
      <c r="D16" s="1" t="s">
        <v>117</v>
      </c>
      <c r="E16" s="19">
        <v>1790</v>
      </c>
      <c r="F16" s="19"/>
      <c r="G16" s="19">
        <f t="shared" si="0"/>
        <v>328</v>
      </c>
    </row>
    <row r="17" spans="1:7" x14ac:dyDescent="0.25">
      <c r="A17" s="19" t="s">
        <v>120</v>
      </c>
      <c r="B17" s="1" t="s">
        <v>115</v>
      </c>
      <c r="C17" s="19"/>
      <c r="D17" s="1" t="s">
        <v>104</v>
      </c>
      <c r="E17" s="19"/>
      <c r="F17" s="19">
        <v>7000</v>
      </c>
      <c r="G17" s="19">
        <f t="shared" si="0"/>
        <v>7328</v>
      </c>
    </row>
    <row r="18" spans="1:7" x14ac:dyDescent="0.25">
      <c r="A18" s="25"/>
      <c r="B18" s="19"/>
      <c r="C18" s="19"/>
      <c r="D18" s="1"/>
      <c r="E18" s="19"/>
      <c r="F18" s="19"/>
      <c r="G18" s="19">
        <f t="shared" si="0"/>
        <v>7328</v>
      </c>
    </row>
    <row r="19" spans="1:7" x14ac:dyDescent="0.25">
      <c r="A19" s="25"/>
      <c r="B19" s="19"/>
      <c r="C19" s="19"/>
      <c r="D19" s="1"/>
      <c r="E19" s="19"/>
      <c r="F19" s="19"/>
      <c r="G19" s="19">
        <f t="shared" si="0"/>
        <v>7328</v>
      </c>
    </row>
    <row r="20" spans="1:7" x14ac:dyDescent="0.25">
      <c r="A20" s="25"/>
      <c r="B20" s="19"/>
      <c r="C20" s="19"/>
      <c r="D20" s="9" t="s">
        <v>81</v>
      </c>
      <c r="E20" s="17">
        <f>SUM(E5:E18)</f>
        <v>8163</v>
      </c>
      <c r="F20" s="17">
        <f>SUM(F4:F16)</f>
        <v>8491</v>
      </c>
      <c r="G20" s="26">
        <f>G19-E19+F19</f>
        <v>7328</v>
      </c>
    </row>
    <row r="21" spans="1:7" x14ac:dyDescent="0.25">
      <c r="A21" s="35"/>
      <c r="B21" s="36"/>
      <c r="C21" s="36"/>
      <c r="D21" s="37"/>
      <c r="E21" s="36"/>
      <c r="F21" s="36"/>
      <c r="G21" s="38"/>
    </row>
    <row r="22" spans="1:7" x14ac:dyDescent="0.25">
      <c r="A22" s="32"/>
      <c r="B22" s="8"/>
      <c r="C22" s="8"/>
      <c r="G22" s="33"/>
    </row>
    <row r="23" spans="1:7" x14ac:dyDescent="0.25">
      <c r="A23" s="28"/>
      <c r="B23" s="29"/>
      <c r="C23" s="29"/>
      <c r="D23" s="39" t="s">
        <v>11</v>
      </c>
      <c r="E23" s="30"/>
      <c r="F23" s="30"/>
      <c r="G23" s="31"/>
    </row>
    <row r="24" spans="1:7" x14ac:dyDescent="0.25">
      <c r="A24" s="25"/>
      <c r="B24" s="19"/>
      <c r="C24" s="19"/>
      <c r="D24" s="22" t="s">
        <v>12</v>
      </c>
      <c r="E24" s="1"/>
      <c r="F24" s="1"/>
      <c r="G24" s="26"/>
    </row>
    <row r="25" spans="1:7" x14ac:dyDescent="0.25">
      <c r="A25" s="2" t="s">
        <v>2</v>
      </c>
      <c r="B25" s="2" t="s">
        <v>3</v>
      </c>
      <c r="C25" s="2" t="s">
        <v>4</v>
      </c>
      <c r="D25" s="2" t="s">
        <v>5</v>
      </c>
      <c r="E25" s="2" t="s">
        <v>6</v>
      </c>
      <c r="F25" s="2" t="s">
        <v>7</v>
      </c>
      <c r="G25" s="2" t="s">
        <v>8</v>
      </c>
    </row>
    <row r="26" spans="1:7" x14ac:dyDescent="0.25">
      <c r="A26" s="23"/>
      <c r="B26" s="23"/>
      <c r="C26" s="23"/>
      <c r="D26" s="24"/>
      <c r="E26" s="24"/>
      <c r="F26" s="24"/>
      <c r="G26" s="23">
        <v>7328</v>
      </c>
    </row>
    <row r="27" spans="1:7" x14ac:dyDescent="0.25">
      <c r="A27" s="19">
        <v>278</v>
      </c>
      <c r="B27" s="1" t="s">
        <v>91</v>
      </c>
      <c r="C27" s="1"/>
      <c r="D27" s="1" t="s">
        <v>94</v>
      </c>
      <c r="E27" s="1">
        <v>180</v>
      </c>
      <c r="F27" s="19"/>
      <c r="G27" s="11">
        <f>G26-E27+F27</f>
        <v>7148</v>
      </c>
    </row>
    <row r="28" spans="1:7" x14ac:dyDescent="0.25">
      <c r="A28" s="19"/>
      <c r="B28" s="19"/>
      <c r="C28" s="19"/>
      <c r="D28" s="18"/>
      <c r="E28" s="19"/>
      <c r="F28" s="7"/>
      <c r="G28" s="11">
        <f t="shared" ref="G28:G29" si="1">G27-E28+F28</f>
        <v>7148</v>
      </c>
    </row>
    <row r="29" spans="1:7" x14ac:dyDescent="0.25">
      <c r="A29" s="5"/>
      <c r="B29" s="13"/>
      <c r="C29" s="6"/>
      <c r="D29" s="6"/>
      <c r="E29" s="21"/>
      <c r="F29" s="12"/>
      <c r="G29" s="11">
        <f t="shared" si="1"/>
        <v>7148</v>
      </c>
    </row>
    <row r="30" spans="1:7" x14ac:dyDescent="0.25">
      <c r="A30" s="5"/>
      <c r="B30" s="14"/>
      <c r="C30" s="15"/>
      <c r="D30" s="15" t="s">
        <v>13</v>
      </c>
      <c r="E30" s="16">
        <f>SUM(E27:E29)</f>
        <v>180</v>
      </c>
      <c r="F30" s="16"/>
      <c r="G30" s="17">
        <f>G29-E29+F29</f>
        <v>7148</v>
      </c>
    </row>
    <row r="31" spans="1:7" x14ac:dyDescent="0.25">
      <c r="A31" s="1"/>
      <c r="B31" s="1"/>
      <c r="C31" s="1"/>
      <c r="D31" s="1"/>
      <c r="E31" s="1"/>
      <c r="F31" s="1"/>
      <c r="G31" s="1"/>
    </row>
  </sheetData>
  <autoFilter ref="A3:G3" xr:uid="{E63A5BEB-1971-4CF5-9919-1591BDBFA25A}"/>
  <mergeCells count="2">
    <mergeCell ref="C1:E1"/>
    <mergeCell ref="C2:E2"/>
  </mergeCells>
  <phoneticPr fontId="6" type="noConversion"/>
  <pageMargins left="0.7" right="0.7" top="0.75" bottom="0.75" header="0.3" footer="0.3"/>
  <pageSetup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A6A2-2508-4007-B952-3FDD04C5F161}">
  <dimension ref="A2:G26"/>
  <sheetViews>
    <sheetView tabSelected="1" workbookViewId="0">
      <selection activeCell="D8" sqref="D8"/>
    </sheetView>
  </sheetViews>
  <sheetFormatPr defaultRowHeight="15" x14ac:dyDescent="0.25"/>
  <cols>
    <col min="2" max="2" width="10.42578125" bestFit="1" customWidth="1"/>
    <col min="3" max="3" width="21.140625" customWidth="1"/>
    <col min="4" max="4" width="93.85546875" bestFit="1" customWidth="1"/>
    <col min="5" max="5" width="10.5703125" bestFit="1" customWidth="1"/>
    <col min="6" max="6" width="10.42578125" bestFit="1" customWidth="1"/>
    <col min="7" max="7" width="11.85546875" customWidth="1"/>
  </cols>
  <sheetData>
    <row r="2" spans="1:7" ht="15.75" x14ac:dyDescent="0.25">
      <c r="A2" s="1"/>
      <c r="B2" s="1"/>
      <c r="C2" s="40" t="s">
        <v>0</v>
      </c>
      <c r="D2" s="40"/>
      <c r="E2" s="40"/>
      <c r="F2" s="1"/>
      <c r="G2" s="1"/>
    </row>
    <row r="3" spans="1:7" ht="15.75" x14ac:dyDescent="0.25">
      <c r="A3" s="1"/>
      <c r="B3" s="1"/>
      <c r="C3" s="40" t="s">
        <v>1</v>
      </c>
      <c r="D3" s="40"/>
      <c r="E3" s="40"/>
      <c r="F3" s="1"/>
      <c r="G3" s="1"/>
    </row>
    <row r="4" spans="1:7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25">
      <c r="A5" s="3"/>
      <c r="B5" s="3"/>
      <c r="C5" s="3"/>
      <c r="D5" s="3"/>
      <c r="E5" s="3"/>
      <c r="F5" s="3"/>
      <c r="G5" s="4">
        <v>6968</v>
      </c>
    </row>
    <row r="6" spans="1:7" x14ac:dyDescent="0.25">
      <c r="A6" s="19">
        <v>278</v>
      </c>
      <c r="B6" s="1" t="s">
        <v>121</v>
      </c>
      <c r="C6" s="19"/>
      <c r="D6" s="1" t="s">
        <v>122</v>
      </c>
      <c r="E6" s="19">
        <v>1680</v>
      </c>
      <c r="F6" s="19"/>
      <c r="G6" s="19">
        <f>G5-E6+F6</f>
        <v>5288</v>
      </c>
    </row>
    <row r="7" spans="1:7" x14ac:dyDescent="0.25">
      <c r="A7" s="19">
        <v>279</v>
      </c>
      <c r="B7" s="1" t="s">
        <v>121</v>
      </c>
      <c r="C7" s="7" t="s">
        <v>124</v>
      </c>
      <c r="D7" s="1" t="s">
        <v>123</v>
      </c>
      <c r="E7" s="19">
        <v>2543</v>
      </c>
      <c r="F7" s="19"/>
      <c r="G7" s="19">
        <f t="shared" ref="G7:G15" si="0">G6-E7+F7</f>
        <v>2745</v>
      </c>
    </row>
    <row r="8" spans="1:7" x14ac:dyDescent="0.25">
      <c r="A8" s="19">
        <v>280</v>
      </c>
      <c r="B8" s="1" t="s">
        <v>121</v>
      </c>
      <c r="C8" s="7">
        <v>83</v>
      </c>
      <c r="D8" s="1" t="s">
        <v>125</v>
      </c>
      <c r="E8" s="19">
        <v>300</v>
      </c>
      <c r="F8" s="19"/>
      <c r="G8" s="19">
        <f t="shared" si="0"/>
        <v>2445</v>
      </c>
    </row>
    <row r="9" spans="1:7" x14ac:dyDescent="0.25">
      <c r="A9" s="19">
        <v>281</v>
      </c>
      <c r="B9" s="1" t="s">
        <v>126</v>
      </c>
      <c r="C9" s="34"/>
      <c r="D9" s="1" t="s">
        <v>127</v>
      </c>
      <c r="E9" s="19">
        <v>200</v>
      </c>
      <c r="F9" s="19"/>
      <c r="G9" s="19">
        <f t="shared" si="0"/>
        <v>2245</v>
      </c>
    </row>
    <row r="10" spans="1:7" x14ac:dyDescent="0.25">
      <c r="A10" s="19">
        <v>282</v>
      </c>
      <c r="B10" s="1" t="s">
        <v>128</v>
      </c>
      <c r="C10" s="34" t="s">
        <v>129</v>
      </c>
      <c r="D10" s="1" t="s">
        <v>130</v>
      </c>
      <c r="E10" s="19">
        <v>7820</v>
      </c>
      <c r="F10" s="19"/>
      <c r="G10" s="19">
        <f t="shared" si="0"/>
        <v>-5575</v>
      </c>
    </row>
    <row r="11" spans="1:7" x14ac:dyDescent="0.25">
      <c r="A11" s="19">
        <v>283</v>
      </c>
      <c r="B11" s="1" t="s">
        <v>128</v>
      </c>
      <c r="C11" s="34"/>
      <c r="D11" s="1" t="s">
        <v>131</v>
      </c>
      <c r="E11" s="19"/>
      <c r="F11" s="19">
        <v>7000</v>
      </c>
      <c r="G11" s="19">
        <f t="shared" si="0"/>
        <v>1425</v>
      </c>
    </row>
    <row r="12" spans="1:7" x14ac:dyDescent="0.25">
      <c r="A12" s="19"/>
      <c r="B12" s="1"/>
      <c r="C12" s="34"/>
      <c r="D12" s="1"/>
      <c r="E12" s="19"/>
      <c r="F12" s="19"/>
      <c r="G12" s="19">
        <f t="shared" si="0"/>
        <v>1425</v>
      </c>
    </row>
    <row r="13" spans="1:7" x14ac:dyDescent="0.25">
      <c r="A13" s="25"/>
      <c r="B13" s="19"/>
      <c r="C13" s="34"/>
      <c r="D13" s="1"/>
      <c r="E13" s="19"/>
      <c r="F13" s="19"/>
      <c r="G13" s="19">
        <f t="shared" si="0"/>
        <v>1425</v>
      </c>
    </row>
    <row r="14" spans="1:7" x14ac:dyDescent="0.25">
      <c r="A14" s="25"/>
      <c r="B14" s="19"/>
      <c r="C14" s="19"/>
      <c r="D14" s="1"/>
      <c r="E14" s="19"/>
      <c r="F14" s="19"/>
      <c r="G14" s="19">
        <f t="shared" si="0"/>
        <v>1425</v>
      </c>
    </row>
    <row r="15" spans="1:7" x14ac:dyDescent="0.25">
      <c r="A15" s="25"/>
      <c r="B15" s="19"/>
      <c r="C15" s="19"/>
      <c r="D15" s="1"/>
      <c r="E15" s="17">
        <f>SUM(E6:E13)</f>
        <v>12543</v>
      </c>
      <c r="F15" s="17">
        <f>SUM(F5:F12)</f>
        <v>7000</v>
      </c>
      <c r="G15" s="19">
        <f>G14-E14+F14</f>
        <v>1425</v>
      </c>
    </row>
    <row r="16" spans="1:7" x14ac:dyDescent="0.25">
      <c r="A16" s="35"/>
      <c r="B16" s="36"/>
      <c r="C16" s="36"/>
      <c r="D16" s="37"/>
      <c r="E16" s="36"/>
      <c r="F16" s="36"/>
      <c r="G16" s="38"/>
    </row>
    <row r="17" spans="1:7" x14ac:dyDescent="0.25">
      <c r="A17" s="32"/>
      <c r="B17" s="8"/>
      <c r="C17" s="8"/>
      <c r="G17" s="33"/>
    </row>
    <row r="18" spans="1:7" x14ac:dyDescent="0.25">
      <c r="A18" s="28"/>
      <c r="B18" s="29"/>
      <c r="C18" s="29"/>
      <c r="D18" s="39" t="s">
        <v>11</v>
      </c>
      <c r="E18" s="30"/>
      <c r="F18" s="30"/>
      <c r="G18" s="31"/>
    </row>
    <row r="19" spans="1:7" x14ac:dyDescent="0.25">
      <c r="A19" s="25"/>
      <c r="B19" s="19"/>
      <c r="C19" s="19"/>
      <c r="D19" s="22" t="s">
        <v>12</v>
      </c>
      <c r="E19" s="1"/>
      <c r="F19" s="1"/>
      <c r="G19" s="26"/>
    </row>
    <row r="20" spans="1:7" x14ac:dyDescent="0.25">
      <c r="A20" s="2" t="s">
        <v>2</v>
      </c>
      <c r="B20" s="2" t="s">
        <v>3</v>
      </c>
      <c r="C20" s="2" t="s">
        <v>4</v>
      </c>
      <c r="D20" s="2" t="s">
        <v>5</v>
      </c>
      <c r="E20" s="2" t="s">
        <v>6</v>
      </c>
      <c r="F20" s="2" t="s">
        <v>7</v>
      </c>
      <c r="G20" s="2" t="s">
        <v>8</v>
      </c>
    </row>
    <row r="21" spans="1:7" x14ac:dyDescent="0.25">
      <c r="A21" s="23"/>
      <c r="B21" s="23"/>
      <c r="C21" s="23"/>
      <c r="D21" s="24"/>
      <c r="E21" s="24"/>
      <c r="F21" s="24"/>
      <c r="G21" s="23">
        <v>7328</v>
      </c>
    </row>
    <row r="22" spans="1:7" x14ac:dyDescent="0.25">
      <c r="A22" s="19"/>
      <c r="B22" s="1"/>
      <c r="C22" s="1"/>
      <c r="D22" s="1"/>
      <c r="E22" s="1"/>
      <c r="F22" s="19"/>
      <c r="G22" s="11"/>
    </row>
    <row r="23" spans="1:7" x14ac:dyDescent="0.25">
      <c r="A23" s="19"/>
      <c r="B23" s="19"/>
      <c r="C23" s="19"/>
      <c r="D23" s="18"/>
      <c r="E23" s="19"/>
      <c r="F23" s="7"/>
      <c r="G23" s="11"/>
    </row>
    <row r="24" spans="1:7" x14ac:dyDescent="0.25">
      <c r="A24" s="5"/>
      <c r="B24" s="13"/>
      <c r="C24" s="6"/>
      <c r="D24" s="6"/>
      <c r="E24" s="21"/>
      <c r="F24" s="12"/>
      <c r="G24" s="11"/>
    </row>
    <row r="25" spans="1:7" x14ac:dyDescent="0.25">
      <c r="A25" s="5"/>
      <c r="B25" s="14"/>
      <c r="C25" s="15"/>
      <c r="D25" s="15" t="s">
        <v>13</v>
      </c>
      <c r="E25" s="16">
        <f>SUM(E22:E24)</f>
        <v>0</v>
      </c>
      <c r="F25" s="16"/>
      <c r="G25" s="17">
        <f>G24-E24+F24</f>
        <v>0</v>
      </c>
    </row>
    <row r="26" spans="1:7" x14ac:dyDescent="0.25">
      <c r="A26" s="1"/>
      <c r="B26" s="1"/>
      <c r="C26" s="1"/>
      <c r="D26" s="1"/>
      <c r="E26" s="1"/>
      <c r="F26" s="1"/>
      <c r="G26" s="1"/>
    </row>
  </sheetData>
  <mergeCells count="2">
    <mergeCell ref="C2:E2"/>
    <mergeCell ref="C3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Date_03-10-2026 to 09-10-2026</vt:lpstr>
      <vt:lpstr>Date_10-10-2026 to 16-10-2026</vt:lpstr>
      <vt:lpstr>Date_17-10-26 to 23-10-2026</vt:lpstr>
      <vt:lpstr>Date_24-10-2026 to 30 -10-2026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2026-10-23T11:30:01Z</cp:lastPrinted>
  <dcterms:created xsi:type="dcterms:W3CDTF">2026-10-09T12:11:10Z</dcterms:created>
  <dcterms:modified xsi:type="dcterms:W3CDTF">2026-10-30T07:24:46Z</dcterms:modified>
</cp:coreProperties>
</file>