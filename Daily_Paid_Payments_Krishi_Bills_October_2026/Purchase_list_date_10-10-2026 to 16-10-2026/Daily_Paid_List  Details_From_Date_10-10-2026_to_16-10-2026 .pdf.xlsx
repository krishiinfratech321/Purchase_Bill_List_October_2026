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Daily_Paid_Payments_Krishi_Bills_October_2026\Purchase_list_date_10-10-2026 to 16-10-2026\"/>
    </mc:Choice>
  </mc:AlternateContent>
  <xr:revisionPtr revIDLastSave="0" documentId="13_ncr:1_{01498DF0-32DC-4501-B126-B3E4E45C3236}" xr6:coauthVersionLast="47" xr6:coauthVersionMax="47" xr10:uidLastSave="{00000000-0000-0000-0000-000000000000}"/>
  <bookViews>
    <workbookView xWindow="-120" yWindow="-120" windowWidth="25440" windowHeight="15270" xr2:uid="{A8B9C68E-02E7-48C2-8C8C-E1A3D83F10B5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E39" i="1"/>
  <c r="G28" i="1"/>
  <c r="G27" i="1"/>
  <c r="G24" i="1"/>
  <c r="G25" i="1" s="1"/>
  <c r="G26" i="1" s="1"/>
  <c r="G22" i="1"/>
  <c r="G23" i="1" s="1"/>
  <c r="F28" i="1"/>
  <c r="E22" i="1"/>
  <c r="E28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</calcChain>
</file>

<file path=xl/sharedStrings.xml><?xml version="1.0" encoding="utf-8"?>
<sst xmlns="http://schemas.openxmlformats.org/spreadsheetml/2006/main" count="85" uniqueCount="60">
  <si>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</si>
  <si>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</si>
  <si>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</si>
  <si>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</si>
  <si>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</si>
  <si>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</si>
  <si>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</si>
  <si>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</si>
  <si>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</si>
  <si>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241</t>
  </si>
  <si>
    <t>11-10-2026</t>
  </si>
  <si>
    <t>Bhubaneswar wife recharge</t>
  </si>
  <si>
    <t>242</t>
  </si>
  <si>
    <t>12-10-2026</t>
  </si>
  <si>
    <r>
      <t>New TM drivers: bed, bed sheet, chapa, pillow covers for</t>
    </r>
    <r>
      <rPr>
        <b/>
        <sz val="11"/>
        <color theme="1"/>
        <rFont val="Calibri"/>
        <family val="2"/>
        <scheme val="minor"/>
      </rPr>
      <t xml:space="preserve"> 3 members</t>
    </r>
  </si>
  <si>
    <t>243</t>
  </si>
  <si>
    <t>72</t>
  </si>
  <si>
    <t>locks  5 Nos , wighment room / watchman room and Lalu room</t>
  </si>
  <si>
    <t>244</t>
  </si>
  <si>
    <t>Received money from Rajashekar through Phone Pe</t>
  </si>
  <si>
    <t>245</t>
  </si>
  <si>
    <t>13-10-2026</t>
  </si>
  <si>
    <t>2574</t>
  </si>
  <si>
    <t>Fans, 2 Nos., for B7 room</t>
  </si>
  <si>
    <t>246</t>
  </si>
  <si>
    <t>02</t>
  </si>
  <si>
    <t xml:space="preserve">Helper (2 Nos.); chapa and bed sheet, pillow, pillow cover </t>
  </si>
  <si>
    <t>247</t>
  </si>
  <si>
    <t>Material Transport from Vizag to Sompeta Girder Meterial ,(bentonite powder)</t>
  </si>
  <si>
    <t>248</t>
  </si>
  <si>
    <t>Received money from Rajashekar through cash</t>
  </si>
  <si>
    <t>249</t>
  </si>
  <si>
    <t>250</t>
  </si>
  <si>
    <t>Received money from Rajashekar through Phone Pe Rajashekar to vehicle driver number</t>
  </si>
  <si>
    <t>251</t>
  </si>
  <si>
    <t>14-10-2026</t>
  </si>
  <si>
    <t>03</t>
  </si>
  <si>
    <t>Chapa, 2 Nos. &amp; pillows; bed sheets, 2 Nos.; pillow cover for new watchman family (Day time Watchman)</t>
  </si>
  <si>
    <t>252</t>
  </si>
  <si>
    <t>253</t>
  </si>
  <si>
    <t>Paid to airtel Wi-Fi technician for Gireesh sir  room</t>
  </si>
  <si>
    <t>256</t>
  </si>
  <si>
    <t>15-10-2026</t>
  </si>
  <si>
    <t>Gunny bags, 40 Nos. (40 × 18) to store</t>
  </si>
  <si>
    <t>257</t>
  </si>
  <si>
    <t>Hand gloves, 4 pairs, to store for lab</t>
  </si>
  <si>
    <t>258</t>
  </si>
  <si>
    <t>259</t>
  </si>
  <si>
    <t>Multi Meter Return Amount From FlipKart</t>
  </si>
  <si>
    <t>261</t>
  </si>
  <si>
    <t>16-10-2026</t>
  </si>
  <si>
    <t>Gunny bags, 100 Nos. (40 × 17) To Store</t>
  </si>
  <si>
    <t xml:space="preserve"> TOTAL</t>
  </si>
  <si>
    <t>260</t>
  </si>
  <si>
    <t xml:space="preserve">VRL Logistics LTD Freight charges From Hyd to Palasa &amp;  Loading Charges </t>
  </si>
  <si>
    <t xml:space="preserve">Murali Technical Works , Catridge Refilling for office </t>
  </si>
  <si>
    <t>MIRAI BUILDTECH PVT LTD ,SOMPETA</t>
  </si>
  <si>
    <t>Purchase List,Daily Payments</t>
  </si>
  <si>
    <t xml:space="preserve">Murali Technical works ,Printing papers for Crusher Weighmnet 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</si>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</sst>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wrapText="1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B385-B4EF-4AC4-83CF-2BCCE8B4FF18}">
  <dimension ref="A1:G39"/>
  <sheetViews>
    <sheetView tabSelected="1" topLeftCell="A19" workbookViewId="0">
      <selection activeCell="D45" sqref="D45"/>
    </sheetView>
  </sheetViews>
  <sheetFormatPr defaultRowHeight="15" x14ac:dyDescent="0.25"/>
  <cols>
    <col min="1" max="1" width="15" customWidth="1"/>
    <col min="2" max="2" width="16.28515625" customWidth="1"/>
    <col min="3" max="3" width="13.42578125" customWidth="1"/>
    <col min="4" max="4" width="56.5703125" customWidth="1"/>
    <col min="5" max="5" width="20.42578125" customWidth="1"/>
    <col min="6" max="6" width="23.7109375" customWidth="1"/>
    <col min="7" max="7" width="24.5703125" customWidth="1"/>
  </cols>
  <sheetData>
    <row r="1" spans="1:7" ht="15.75" x14ac:dyDescent="0.25">
      <c r="A1" s="1"/>
      <c r="B1" s="1"/>
      <c r="C1" s="27" t="s">
        <v>0</v>
      </c>
      <c r="D1" s="27"/>
      <c r="E1" s="27"/>
      <c r="F1" s="1"/>
      <c r="G1" s="1"/>
    </row>
    <row r="2" spans="1:7" ht="15.75" x14ac:dyDescent="0.25">
      <c r="A2" s="1"/>
      <c r="B2" s="1"/>
      <c r="C2" s="27" t="s">
        <v>1</v>
      </c>
      <c r="D2" s="27"/>
      <c r="E2" s="27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>
        <v>2181</v>
      </c>
      <c r="G4" s="4">
        <v>2181</v>
      </c>
    </row>
    <row r="5" spans="1:7" x14ac:dyDescent="0.25">
      <c r="A5" s="5" t="s">
        <v>9</v>
      </c>
      <c r="B5" s="5" t="s">
        <v>10</v>
      </c>
      <c r="C5" s="5"/>
      <c r="D5" s="6" t="s">
        <v>11</v>
      </c>
      <c r="E5" s="7">
        <v>1200</v>
      </c>
      <c r="F5" s="7"/>
      <c r="G5" s="7">
        <f>G4-E5+F5</f>
        <v>981</v>
      </c>
    </row>
    <row r="6" spans="1:7" ht="30" x14ac:dyDescent="0.25">
      <c r="A6" s="5" t="s">
        <v>12</v>
      </c>
      <c r="B6" s="5" t="s">
        <v>13</v>
      </c>
      <c r="C6" s="5"/>
      <c r="D6" s="6" t="s">
        <v>14</v>
      </c>
      <c r="E6" s="7">
        <v>4500</v>
      </c>
      <c r="F6" s="7"/>
      <c r="G6" s="7">
        <f t="shared" ref="G6:G27" si="0">G5-E6+F6</f>
        <v>-3519</v>
      </c>
    </row>
    <row r="7" spans="1:7" ht="30" x14ac:dyDescent="0.25">
      <c r="A7" s="5" t="s">
        <v>15</v>
      </c>
      <c r="B7" s="5" t="s">
        <v>13</v>
      </c>
      <c r="C7" s="5" t="s">
        <v>16</v>
      </c>
      <c r="D7" s="6" t="s">
        <v>17</v>
      </c>
      <c r="E7" s="7">
        <v>500</v>
      </c>
      <c r="F7" s="7"/>
      <c r="G7" s="7">
        <f t="shared" si="0"/>
        <v>-4019</v>
      </c>
    </row>
    <row r="8" spans="1:7" ht="30" x14ac:dyDescent="0.25">
      <c r="A8" s="5" t="s">
        <v>18</v>
      </c>
      <c r="B8" s="5" t="s">
        <v>13</v>
      </c>
      <c r="C8" s="5"/>
      <c r="D8" s="6" t="s">
        <v>19</v>
      </c>
      <c r="E8" s="7"/>
      <c r="F8" s="7">
        <v>5000</v>
      </c>
      <c r="G8" s="7">
        <f t="shared" si="0"/>
        <v>981</v>
      </c>
    </row>
    <row r="9" spans="1:7" x14ac:dyDescent="0.25">
      <c r="A9" s="5" t="s">
        <v>20</v>
      </c>
      <c r="B9" s="5" t="s">
        <v>21</v>
      </c>
      <c r="C9" s="5" t="s">
        <v>22</v>
      </c>
      <c r="D9" s="6" t="s">
        <v>23</v>
      </c>
      <c r="E9" s="7">
        <v>2600</v>
      </c>
      <c r="F9" s="7"/>
      <c r="G9" s="7">
        <f t="shared" si="0"/>
        <v>-1619</v>
      </c>
    </row>
    <row r="10" spans="1:7" ht="30" x14ac:dyDescent="0.25">
      <c r="A10" s="5" t="s">
        <v>24</v>
      </c>
      <c r="B10" s="5" t="s">
        <v>21</v>
      </c>
      <c r="C10" s="5" t="s">
        <v>25</v>
      </c>
      <c r="D10" s="6" t="s">
        <v>26</v>
      </c>
      <c r="E10" s="7">
        <v>800</v>
      </c>
      <c r="F10" s="7"/>
      <c r="G10" s="7">
        <f t="shared" si="0"/>
        <v>-2419</v>
      </c>
    </row>
    <row r="11" spans="1:7" ht="45" x14ac:dyDescent="0.25">
      <c r="A11" s="5" t="s">
        <v>27</v>
      </c>
      <c r="B11" s="5" t="s">
        <v>21</v>
      </c>
      <c r="C11" s="5"/>
      <c r="D11" s="6" t="s">
        <v>28</v>
      </c>
      <c r="E11" s="7">
        <v>8600</v>
      </c>
      <c r="F11" s="7"/>
      <c r="G11" s="7">
        <f t="shared" si="0"/>
        <v>-11019</v>
      </c>
    </row>
    <row r="12" spans="1:7" ht="30" x14ac:dyDescent="0.25">
      <c r="A12" s="5" t="s">
        <v>29</v>
      </c>
      <c r="B12" s="5" t="s">
        <v>21</v>
      </c>
      <c r="C12" s="5"/>
      <c r="D12" s="6" t="s">
        <v>30</v>
      </c>
      <c r="E12" s="7"/>
      <c r="F12" s="7">
        <v>5000</v>
      </c>
      <c r="G12" s="7">
        <f t="shared" si="0"/>
        <v>-6019</v>
      </c>
    </row>
    <row r="13" spans="1:7" ht="30" x14ac:dyDescent="0.25">
      <c r="A13" s="5" t="s">
        <v>31</v>
      </c>
      <c r="B13" s="5" t="s">
        <v>21</v>
      </c>
      <c r="C13" s="5"/>
      <c r="D13" s="6" t="s">
        <v>19</v>
      </c>
      <c r="E13" s="7"/>
      <c r="F13" s="7">
        <v>5000</v>
      </c>
      <c r="G13" s="7">
        <f t="shared" si="0"/>
        <v>-1019</v>
      </c>
    </row>
    <row r="14" spans="1:7" ht="45" x14ac:dyDescent="0.25">
      <c r="A14" s="5" t="s">
        <v>32</v>
      </c>
      <c r="B14" s="5" t="s">
        <v>21</v>
      </c>
      <c r="C14" s="5"/>
      <c r="D14" s="6" t="s">
        <v>33</v>
      </c>
      <c r="E14" s="7"/>
      <c r="F14" s="7">
        <v>2000</v>
      </c>
      <c r="G14" s="7">
        <f t="shared" si="0"/>
        <v>981</v>
      </c>
    </row>
    <row r="15" spans="1:7" ht="45" x14ac:dyDescent="0.25">
      <c r="A15" s="5" t="s">
        <v>34</v>
      </c>
      <c r="B15" s="5" t="s">
        <v>35</v>
      </c>
      <c r="C15" s="5" t="s">
        <v>36</v>
      </c>
      <c r="D15" s="6" t="s">
        <v>37</v>
      </c>
      <c r="E15" s="7">
        <v>800</v>
      </c>
      <c r="F15" s="7"/>
      <c r="G15" s="7">
        <f t="shared" si="0"/>
        <v>181</v>
      </c>
    </row>
    <row r="16" spans="1:7" ht="30" x14ac:dyDescent="0.25">
      <c r="A16" s="5" t="s">
        <v>38</v>
      </c>
      <c r="B16" s="5" t="s">
        <v>35</v>
      </c>
      <c r="C16" s="5"/>
      <c r="D16" s="6" t="s">
        <v>30</v>
      </c>
      <c r="E16" s="7"/>
      <c r="F16" s="7">
        <v>2000</v>
      </c>
      <c r="G16" s="7">
        <f t="shared" si="0"/>
        <v>2181</v>
      </c>
    </row>
    <row r="17" spans="1:7" ht="30" x14ac:dyDescent="0.25">
      <c r="A17" s="5" t="s">
        <v>39</v>
      </c>
      <c r="B17" s="5" t="s">
        <v>35</v>
      </c>
      <c r="C17" s="5"/>
      <c r="D17" s="6" t="s">
        <v>40</v>
      </c>
      <c r="E17" s="7">
        <v>300</v>
      </c>
      <c r="F17" s="7"/>
      <c r="G17" s="7">
        <f t="shared" si="0"/>
        <v>1881</v>
      </c>
    </row>
    <row r="18" spans="1:7" x14ac:dyDescent="0.25">
      <c r="A18" s="5" t="s">
        <v>41</v>
      </c>
      <c r="B18" s="5" t="s">
        <v>42</v>
      </c>
      <c r="C18" s="5"/>
      <c r="D18" s="6" t="s">
        <v>43</v>
      </c>
      <c r="E18" s="7">
        <v>720</v>
      </c>
      <c r="F18" s="7"/>
      <c r="G18" s="7">
        <f t="shared" si="0"/>
        <v>1161</v>
      </c>
    </row>
    <row r="19" spans="1:7" x14ac:dyDescent="0.25">
      <c r="A19" s="5" t="s">
        <v>44</v>
      </c>
      <c r="B19" s="5" t="s">
        <v>42</v>
      </c>
      <c r="C19" s="5">
        <v>4</v>
      </c>
      <c r="D19" s="6" t="s">
        <v>45</v>
      </c>
      <c r="E19" s="7">
        <v>400</v>
      </c>
      <c r="F19" s="7"/>
      <c r="G19" s="7">
        <f t="shared" si="0"/>
        <v>761</v>
      </c>
    </row>
    <row r="20" spans="1:7" ht="30" x14ac:dyDescent="0.25">
      <c r="A20" s="5" t="s">
        <v>46</v>
      </c>
      <c r="B20" s="5" t="s">
        <v>42</v>
      </c>
      <c r="C20" s="5"/>
      <c r="D20" s="6" t="s">
        <v>30</v>
      </c>
      <c r="E20" s="7"/>
      <c r="F20" s="7">
        <v>5000</v>
      </c>
      <c r="G20" s="7">
        <f t="shared" si="0"/>
        <v>5761</v>
      </c>
    </row>
    <row r="21" spans="1:7" ht="30" x14ac:dyDescent="0.25">
      <c r="A21" s="5" t="s">
        <v>47</v>
      </c>
      <c r="B21" s="5" t="s">
        <v>42</v>
      </c>
      <c r="C21" s="5"/>
      <c r="D21" s="6" t="s">
        <v>48</v>
      </c>
      <c r="E21" s="7"/>
      <c r="F21" s="7">
        <v>1340</v>
      </c>
      <c r="G21" s="7">
        <f t="shared" si="0"/>
        <v>7101</v>
      </c>
    </row>
    <row r="22" spans="1:7" x14ac:dyDescent="0.25">
      <c r="A22" s="5" t="s">
        <v>53</v>
      </c>
      <c r="B22" s="5" t="s">
        <v>50</v>
      </c>
      <c r="C22" s="1"/>
      <c r="D22" s="6" t="s">
        <v>51</v>
      </c>
      <c r="E22" s="8">
        <f>100*17</f>
        <v>1700</v>
      </c>
      <c r="F22" s="8"/>
      <c r="G22" s="7">
        <f t="shared" si="0"/>
        <v>5401</v>
      </c>
    </row>
    <row r="23" spans="1:7" ht="30" x14ac:dyDescent="0.25">
      <c r="A23" s="13" t="s">
        <v>49</v>
      </c>
      <c r="B23" s="13" t="s">
        <v>50</v>
      </c>
      <c r="C23" s="14">
        <v>2868125075</v>
      </c>
      <c r="D23" s="12" t="s">
        <v>54</v>
      </c>
      <c r="E23" s="15">
        <v>1660</v>
      </c>
      <c r="F23" s="8"/>
      <c r="G23" s="7">
        <f t="shared" si="0"/>
        <v>3741</v>
      </c>
    </row>
    <row r="24" spans="1:7" x14ac:dyDescent="0.25">
      <c r="A24" s="5">
        <v>262</v>
      </c>
      <c r="B24" s="8" t="s">
        <v>50</v>
      </c>
      <c r="C24" s="8">
        <v>505</v>
      </c>
      <c r="D24" s="1" t="s">
        <v>55</v>
      </c>
      <c r="E24" s="16">
        <v>250</v>
      </c>
      <c r="F24" s="1"/>
      <c r="G24" s="7">
        <f t="shared" si="0"/>
        <v>3491</v>
      </c>
    </row>
    <row r="25" spans="1:7" x14ac:dyDescent="0.25">
      <c r="A25" s="5"/>
      <c r="B25" s="8"/>
      <c r="C25" s="8"/>
      <c r="D25" s="1"/>
      <c r="E25" s="1"/>
      <c r="F25" s="1"/>
      <c r="G25" s="7">
        <f t="shared" si="0"/>
        <v>3491</v>
      </c>
    </row>
    <row r="26" spans="1:7" x14ac:dyDescent="0.25">
      <c r="A26" s="5"/>
      <c r="B26" s="8"/>
      <c r="C26" s="8"/>
      <c r="D26" s="1"/>
      <c r="E26" s="1"/>
      <c r="F26" s="1"/>
      <c r="G26" s="7">
        <f t="shared" si="0"/>
        <v>3491</v>
      </c>
    </row>
    <row r="27" spans="1:7" x14ac:dyDescent="0.25">
      <c r="A27" s="5"/>
      <c r="B27" s="8"/>
      <c r="C27" s="8"/>
      <c r="D27" s="1"/>
      <c r="E27" s="1"/>
      <c r="F27" s="1"/>
      <c r="G27" s="7">
        <f t="shared" si="0"/>
        <v>3491</v>
      </c>
    </row>
    <row r="28" spans="1:7" x14ac:dyDescent="0.25">
      <c r="A28" s="5"/>
      <c r="B28" s="8"/>
      <c r="C28" s="8"/>
      <c r="D28" s="9" t="s">
        <v>52</v>
      </c>
      <c r="E28" s="10">
        <f>SUM(E5:E22)</f>
        <v>22120</v>
      </c>
      <c r="F28" s="10">
        <f>SUM(F4:F23)</f>
        <v>27521</v>
      </c>
      <c r="G28" s="7">
        <f>G27-E27+F27</f>
        <v>3491</v>
      </c>
    </row>
    <row r="29" spans="1:7" x14ac:dyDescent="0.25">
      <c r="A29" s="5"/>
      <c r="B29" s="8"/>
      <c r="C29" s="8"/>
      <c r="D29" s="1"/>
      <c r="E29" s="1"/>
      <c r="F29" s="1"/>
      <c r="G29" s="7"/>
    </row>
    <row r="30" spans="1:7" x14ac:dyDescent="0.25">
      <c r="A30" s="5"/>
    </row>
    <row r="32" spans="1:7" x14ac:dyDescent="0.25">
      <c r="A32" s="16"/>
      <c r="B32" s="16"/>
      <c r="C32" s="16"/>
      <c r="D32" s="17" t="s">
        <v>56</v>
      </c>
      <c r="E32" s="16"/>
      <c r="F32" s="16"/>
      <c r="G32" s="16"/>
    </row>
    <row r="33" spans="1:7" x14ac:dyDescent="0.25">
      <c r="A33" s="28"/>
      <c r="B33" s="28"/>
      <c r="C33" s="28"/>
      <c r="D33" s="17" t="s">
        <v>57</v>
      </c>
      <c r="E33" s="28"/>
      <c r="F33" s="28"/>
      <c r="G33" s="28"/>
    </row>
    <row r="34" spans="1:7" x14ac:dyDescent="0.25">
      <c r="A34" s="2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</row>
    <row r="35" spans="1:7" x14ac:dyDescent="0.25">
      <c r="A35" s="18"/>
      <c r="B35" s="18"/>
      <c r="C35" s="18"/>
      <c r="D35" s="19"/>
      <c r="E35" s="19"/>
      <c r="F35" s="19"/>
      <c r="G35" s="18"/>
    </row>
    <row r="36" spans="1:7" ht="30" x14ac:dyDescent="0.25">
      <c r="A36" s="8">
        <v>262</v>
      </c>
      <c r="B36" s="8" t="s">
        <v>50</v>
      </c>
      <c r="C36" s="8">
        <v>505</v>
      </c>
      <c r="D36" s="20" t="s">
        <v>58</v>
      </c>
      <c r="E36" s="8">
        <v>2790</v>
      </c>
      <c r="F36" s="8"/>
      <c r="G36" s="21"/>
    </row>
    <row r="37" spans="1:7" x14ac:dyDescent="0.25">
      <c r="A37" s="8"/>
      <c r="B37" s="8"/>
      <c r="C37" s="8"/>
      <c r="D37" s="20"/>
      <c r="E37" s="8"/>
      <c r="F37" s="16"/>
      <c r="G37" s="21"/>
    </row>
    <row r="38" spans="1:7" x14ac:dyDescent="0.25">
      <c r="A38" s="22"/>
      <c r="B38" s="23"/>
      <c r="C38" s="6"/>
      <c r="D38" s="6"/>
      <c r="E38" s="24"/>
      <c r="F38" s="25"/>
      <c r="G38" s="21"/>
    </row>
    <row r="39" spans="1:7" x14ac:dyDescent="0.25">
      <c r="A39" s="22"/>
      <c r="B39" s="13"/>
      <c r="C39" s="26"/>
      <c r="D39" s="26" t="s">
        <v>59</v>
      </c>
      <c r="E39" s="11">
        <f>SUM(E36:E38)</f>
        <v>2790</v>
      </c>
      <c r="F39" s="11"/>
      <c r="G39" s="10">
        <f>G38-E38+F38</f>
        <v>0</v>
      </c>
    </row>
  </sheetData>
  <autoFilter ref="A3:G3" xr:uid="{E47EB385-B4EF-4AC4-83CF-2BCCE8B4FF18}"/>
  <mergeCells count="4">
    <mergeCell ref="C1:E1"/>
    <mergeCell ref="C2:E2"/>
    <mergeCell ref="A33:C33"/>
    <mergeCell ref="E33:G3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2026-10-16T07:03:03Z</dcterms:created>
  <dcterms:modified xsi:type="dcterms:W3CDTF">2026-10-16T11:57:17Z</dcterms:modified>
</cp:coreProperties>
</file>