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CAEB1EA-37DA-4637-9FE9-4312781D2384}" xr6:coauthVersionLast="47" xr6:coauthVersionMax="47" xr10:uidLastSave="{00000000-0000-0000-0000-000000000000}"/>
  <bookViews>
    <workbookView xWindow="-120" yWindow="-120" windowWidth="25440" windowHeight="15270" tabRatio="907" activeTab="3" xr2:uid="{00000000-000D-0000-FFFF-FFFF00000000}"/>
  </bookViews>
  <sheets>
    <sheet name="Alpha Steel Traders" sheetId="2" r:id="rId1"/>
    <sheet name="BALAJI LIFTING EQUIPMENTS CO." sheetId="8" r:id="rId2"/>
    <sheet name="B. K. HYDRAULICS &amp; LIFTING CORP" sheetId="3" r:id="rId3"/>
    <sheet name="Gopal Lifting Tools" sheetId="5" r:id="rId4"/>
    <sheet name="Ezzy Lifting Tackle Equipment" sheetId="7" r:id="rId5"/>
    <sheet name="Vizag Lifting Equipments1" sheetId="11" r:id="rId6"/>
  </sheets>
  <definedNames>
    <definedName name="_xlnm._FilterDatabase" localSheetId="0" hidden="1">'Alpha Steel Traders'!$A$2:$I$2</definedName>
    <definedName name="_xlnm._FilterDatabase" localSheetId="2" hidden="1">'B. K. HYDRAULICS &amp; LIFTING CORP'!$A$3:$J$3</definedName>
    <definedName name="_xlnm._FilterDatabase" localSheetId="1" hidden="1">'BALAJI LIFTING EQUIPMENTS CO.'!$A$3:$I$3</definedName>
    <definedName name="_xlnm._FilterDatabase" localSheetId="4" hidden="1">'Ezzy Lifting Tackle Equipment'!$A$3:$I$3</definedName>
    <definedName name="_xlnm._FilterDatabase" localSheetId="3" hidden="1">'Gopal Lifting Tools'!$A$3:$I$3</definedName>
    <definedName name="_xlnm._FilterDatabase" localSheetId="5" hidden="1">'Vizag Lifting Equipments1'!$A$2:$I$2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5" l="1"/>
  <c r="J35" i="5"/>
  <c r="J33" i="5"/>
  <c r="J32" i="5"/>
  <c r="J31" i="5"/>
  <c r="J30" i="5"/>
  <c r="J29" i="5"/>
  <c r="J28" i="5"/>
  <c r="J27" i="5"/>
  <c r="J26" i="5"/>
  <c r="J25" i="5"/>
  <c r="J24" i="5"/>
  <c r="J23" i="5"/>
  <c r="G35" i="5"/>
  <c r="I35" i="5" s="1"/>
  <c r="G34" i="5"/>
  <c r="I33" i="5"/>
  <c r="G33" i="5"/>
  <c r="G32" i="5"/>
  <c r="I32" i="5" s="1"/>
  <c r="G31" i="5"/>
  <c r="I31" i="5" s="1"/>
  <c r="G30" i="5"/>
  <c r="I30" i="5" s="1"/>
  <c r="G29" i="5"/>
  <c r="I29" i="5" s="1"/>
  <c r="G28" i="5"/>
  <c r="I28" i="5" s="1"/>
  <c r="I27" i="5"/>
  <c r="G27" i="5"/>
  <c r="G26" i="5"/>
  <c r="I26" i="5" s="1"/>
  <c r="I25" i="5"/>
  <c r="G25" i="5"/>
  <c r="G24" i="5"/>
  <c r="I24" i="5" s="1"/>
  <c r="I23" i="5"/>
  <c r="I17" i="8"/>
  <c r="I13" i="8"/>
  <c r="I14" i="8"/>
  <c r="I15" i="8"/>
  <c r="I16" i="8"/>
  <c r="I12" i="8"/>
  <c r="G15" i="8"/>
  <c r="G16" i="8"/>
  <c r="G14" i="8"/>
  <c r="G13" i="8"/>
  <c r="G12" i="8"/>
  <c r="J17" i="3"/>
  <c r="I5" i="8"/>
  <c r="I6" i="8"/>
  <c r="I7" i="8"/>
  <c r="I8" i="8"/>
  <c r="I9" i="8"/>
  <c r="I10" i="8"/>
  <c r="I11" i="8"/>
  <c r="I4" i="8"/>
  <c r="G4" i="8"/>
  <c r="G5" i="8"/>
  <c r="G6" i="8"/>
  <c r="G7" i="8"/>
  <c r="G8" i="8"/>
  <c r="G9" i="8"/>
  <c r="G10" i="8"/>
  <c r="G11" i="8"/>
  <c r="J5" i="3"/>
  <c r="J6" i="3"/>
  <c r="J7" i="3"/>
  <c r="J8" i="3"/>
  <c r="J9" i="3"/>
  <c r="J10" i="3"/>
  <c r="J11" i="3"/>
  <c r="J12" i="3"/>
  <c r="J13" i="3"/>
  <c r="J4" i="3"/>
  <c r="G5" i="3"/>
  <c r="G6" i="3"/>
  <c r="G7" i="3"/>
  <c r="G8" i="3"/>
  <c r="G9" i="3"/>
  <c r="G10" i="3"/>
  <c r="G11" i="3"/>
  <c r="G12" i="3"/>
  <c r="G13" i="3"/>
  <c r="G4" i="3"/>
  <c r="I18" i="7"/>
  <c r="H19" i="5"/>
  <c r="I19" i="5"/>
  <c r="I18" i="2"/>
  <c r="G18" i="11"/>
  <c r="F18" i="11"/>
  <c r="I16" i="11"/>
  <c r="I15" i="11"/>
  <c r="I14" i="11"/>
  <c r="I13" i="11"/>
  <c r="I12" i="11"/>
  <c r="I11" i="11"/>
  <c r="I10" i="11"/>
  <c r="I9" i="11"/>
  <c r="I8" i="11"/>
  <c r="I7" i="11"/>
  <c r="I6" i="11"/>
  <c r="I5" i="11"/>
  <c r="I4" i="11"/>
  <c r="I3" i="11"/>
  <c r="I18" i="11" s="1"/>
  <c r="I36" i="5" l="1"/>
</calcChain>
</file>

<file path=xl/sharedStrings.xml><?xml version="1.0" encoding="utf-8"?>
<sst xmlns="http://schemas.openxmlformats.org/spreadsheetml/2006/main" count="447" uniqueCount="125">
  <si>
    <t>Alpha Steel Traders</t>
  </si>
  <si>
    <t>B. K. HYDRAULICS &amp; LIFTING CORPORATION</t>
  </si>
  <si>
    <t>Gopal Lifting Tools</t>
  </si>
  <si>
    <t>Ezzy Lifting Tackle Equipment</t>
  </si>
  <si>
    <t>BALAJI LIFTING EQUIPMENTS CO.</t>
  </si>
  <si>
    <t>Vendor</t>
  </si>
  <si>
    <t>Ref No.</t>
  </si>
  <si>
    <t>Item Description</t>
  </si>
  <si>
    <t>Qty</t>
  </si>
  <si>
    <t>Unit</t>
  </si>
  <si>
    <t>Unit Rate</t>
  </si>
  <si>
    <t>GST %</t>
  </si>
  <si>
    <t>Total Tax</t>
  </si>
  <si>
    <t>Gross Amount</t>
  </si>
  <si>
    <t>Est 86</t>
  </si>
  <si>
    <t>Polyester sling 6tonx6mtr 100mm Grey 3ply</t>
  </si>
  <si>
    <t>Pcs</t>
  </si>
  <si>
    <t>Polyester sling 6tonx4mtr (150mm brown)</t>
  </si>
  <si>
    <t>Polyester sling 6tonx2mtr</t>
  </si>
  <si>
    <t>Wire rope sling 28mm 6mtr</t>
  </si>
  <si>
    <t>Nos</t>
  </si>
  <si>
    <t>Wire rope sling 28mm 4mtr</t>
  </si>
  <si>
    <t>D Shackle 5Ton</t>
  </si>
  <si>
    <t>D Shackle 10 Ton</t>
  </si>
  <si>
    <t>Est 85</t>
  </si>
  <si>
    <t>Wire rope sling 28mm 2.5mtr</t>
  </si>
  <si>
    <t>Wire rope sling 22mm 3mtr</t>
  </si>
  <si>
    <t>Hammer 5kg</t>
  </si>
  <si>
    <t>Wire rope 8mm</t>
  </si>
  <si>
    <t>Mtr</t>
  </si>
  <si>
    <t>D shackle 12T</t>
  </si>
  <si>
    <t>Polyester sling 6Ton x 5mtr</t>
  </si>
  <si>
    <t>BKHLC/333/26-27</t>
  </si>
  <si>
    <t>Heavy duty Polyester Web Sling TOOi Make(GRIP) Size:- 6Ton x 6Mtr</t>
  </si>
  <si>
    <t>Each</t>
  </si>
  <si>
    <t>Heavy duty Polyester Web Sling TOOi Make(GRIP) Size:- 6Ton x 5Mtr</t>
  </si>
  <si>
    <t>Alloy Steel D Shackle 10 TON</t>
  </si>
  <si>
    <t>Alloy Steel D Shackle 12 TON</t>
  </si>
  <si>
    <t>Alloy Steel D Shackle 5 TON</t>
  </si>
  <si>
    <t>Steel Wire Rope sling 6x36 Const Steel Core USHA MARTIN Make Mechanically Spliced single crimping Size:- 28mm x 2.5MtR</t>
  </si>
  <si>
    <t>Steel Wire Rope sling 6x36 Const Steel Core USHA MARTIN Make Mechanically Spliced single crimping Size:- 28mm x 4Mtr</t>
  </si>
  <si>
    <t>Steel Wire Rope sling 6x36 Const Steel Core USHA MARTIN Make Mechanically Spliced single crimping Size:- 28mm x 6Mtr</t>
  </si>
  <si>
    <t>Steel Wire Rope sling 6x36 Const Steel Core USHA MARTIN Make Mechanically Spliced single crimping Size:- 22mm x 3Mtr</t>
  </si>
  <si>
    <t>Invoice 47</t>
  </si>
  <si>
    <t>Wire Rope Sling - 28MM X 2.5 MTRS</t>
  </si>
  <si>
    <t>NOS</t>
  </si>
  <si>
    <t>Wire Rope Sling - 22MM X 3 MTRS</t>
  </si>
  <si>
    <t>HAMMER-8205</t>
  </si>
  <si>
    <t>WIRE ROPE-8MM</t>
  </si>
  <si>
    <t>METERS</t>
  </si>
  <si>
    <t>DEE SHACKLE 9.5 TON</t>
  </si>
  <si>
    <t>DEE SHACKLE 12 TON</t>
  </si>
  <si>
    <t>POLYESTER WEBBING SLING - 6 TON X 5 MTRS</t>
  </si>
  <si>
    <t>POLYESTER WEBBING SLING - 6 TON X 6 MTRS</t>
  </si>
  <si>
    <t>POLYESTER WEBBING SLING - 6 TON X 4 MTRS</t>
  </si>
  <si>
    <t>POLYESTER WEBBING SLING - 6 TON X 3 MTRS</t>
  </si>
  <si>
    <t>Wire Rope Sling - 28MM X 6 MTRS</t>
  </si>
  <si>
    <t>Wire Rope Sling - 28MM X 4 MTRS</t>
  </si>
  <si>
    <t>DEE SHACKLE 4.75 TON</t>
  </si>
  <si>
    <t>Invoice 00107</t>
  </si>
  <si>
    <t>Wire Rope Sling 28 mm x 2.5 mtr</t>
  </si>
  <si>
    <t>Wire Rope Sling 22 mm x 3 mtr</t>
  </si>
  <si>
    <t>Wire Rope 6 x 19 FMC 8 mm</t>
  </si>
  <si>
    <t>MTR</t>
  </si>
  <si>
    <t>Dee Shackle S/P Type 9.5 Ton</t>
  </si>
  <si>
    <t>Dee Shackle S/P Type 12 Ton</t>
  </si>
  <si>
    <t>Dup Webbing Sling 6Ton x 5Mtr 6:1 SF ISI</t>
  </si>
  <si>
    <t>Dup Webbing Sling 6Ton x 6Mtr 6:1 SF ISI</t>
  </si>
  <si>
    <t>Dup Webbing Sling 6Ton x 4Mtr 6:1 SF ISI</t>
  </si>
  <si>
    <t>Dup Webbing Sling 6Ton x 2Mtr 6:1 SF ISI</t>
  </si>
  <si>
    <t>Wire Rope Sling 28 mm x 6 mtr</t>
  </si>
  <si>
    <t>Wire Rope Sling 28 mm x 4 mtr</t>
  </si>
  <si>
    <t>Dee Shackle S/P Type 4.75 Ton</t>
  </si>
  <si>
    <t>Sladge Hammer 12 lb</t>
  </si>
  <si>
    <t>Quotation 27/10/26</t>
  </si>
  <si>
    <t>28mm x 2.5 mtr wire Rope Sling 6/36 SC</t>
  </si>
  <si>
    <t>28mm x 4 mtrs wire Rope Sling 6/36 SC</t>
  </si>
  <si>
    <t>28mm x 6 mtrs wire Rope Sling 6/36 SC</t>
  </si>
  <si>
    <t>22mm x 3 mtrs wire Rope Sling 6/19 SC</t>
  </si>
  <si>
    <t>5 ton Dee Shackle</t>
  </si>
  <si>
    <t>10 ton Dee Shackle</t>
  </si>
  <si>
    <t>12 ton Dee shackle</t>
  </si>
  <si>
    <t>8 mm wire Rope Steel Core</t>
  </si>
  <si>
    <t>Vizag Lifting Equipments</t>
  </si>
  <si>
    <t>Quotation (Piling)</t>
  </si>
  <si>
    <t>28mm Wire Rope Sling (2.5 Mtrs)</t>
  </si>
  <si>
    <t>22mm Wire Rope Sling (3 Mtrs)</t>
  </si>
  <si>
    <t>Hammer 5 Kgs</t>
  </si>
  <si>
    <t>No</t>
  </si>
  <si>
    <t>8mm Wire Rope</t>
  </si>
  <si>
    <t>Mtrs</t>
  </si>
  <si>
    <t>10 Ton 'D' Shackle (9.5 MT WLL)</t>
  </si>
  <si>
    <t>12 Ton 'D' Shackle</t>
  </si>
  <si>
    <t>Quotation (Crane)</t>
  </si>
  <si>
    <t>28mm Wire Rope Sling (6 Mtrs)</t>
  </si>
  <si>
    <t>28mm Wire Rope Sling (4 Mtrs)</t>
  </si>
  <si>
    <t>5 Ton 'D' Shackle (4.75 MT WLL)</t>
  </si>
  <si>
    <t>GST</t>
  </si>
  <si>
    <t>6 Ton Lifting Belt / Web Sling (5 Mtrs) - ISI</t>
  </si>
  <si>
    <t>6 Ton Lifting Belt / Web Sling (6 Mtrs) - ISI</t>
  </si>
  <si>
    <t>6 Ton Lifting Belt / Web Sling (4 Mtrs) - ISI</t>
  </si>
  <si>
    <t>6 Ton Lifting Belt / Web Sling (2 Mtrs) - ISI</t>
  </si>
  <si>
    <t>Taxable Amount</t>
  </si>
  <si>
    <t xml:space="preserve"> Gros total</t>
  </si>
  <si>
    <t>Total</t>
  </si>
  <si>
    <t>Alpha Steel Traders,Vijayawada,contact details:91601 69260</t>
  </si>
  <si>
    <t xml:space="preserve">Total </t>
  </si>
  <si>
    <t>Gopal Lifting Tools  ,vijayawada  Contact : +91 9848574666,7893337789</t>
  </si>
  <si>
    <t>Ezzy Lifting Tackle Equipment,Visakhapatnam,Contact Details:94917 87395</t>
  </si>
  <si>
    <t xml:space="preserve">Steel Wire Rope Steel Core USHA MARTIN Make Size 8mm </t>
  </si>
  <si>
    <t>BKHLC/333/26-28</t>
  </si>
  <si>
    <t>BKHLC/333/26-29</t>
  </si>
  <si>
    <t>taxable total</t>
  </si>
  <si>
    <t>BKHLC/333/26-30</t>
  </si>
  <si>
    <t>Not available</t>
  </si>
  <si>
    <t>B. K. HYDRAULICS &amp; LIFTING CORPORATION,contact Details:8895093345</t>
  </si>
  <si>
    <t>B. K. HYDRAULICS &amp; LIFTING CORPORATION,visakapatnam, contact Details:9575993891</t>
  </si>
  <si>
    <t>taxable amount</t>
  </si>
  <si>
    <t>Gross Total Tax</t>
  </si>
  <si>
    <t>Quotation 27/10/27</t>
  </si>
  <si>
    <t>Quotation 27/10/28</t>
  </si>
  <si>
    <t>Quotation 27/10/29</t>
  </si>
  <si>
    <t>Quotation 27/10/30</t>
  </si>
  <si>
    <t>Quotation 27/10/31</t>
  </si>
  <si>
    <t>BALAJI LIFTING EQUIPMENTS CO.,Vijayawada,Contact Details : 9246493307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</si>
</sst>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scheme val="minor"/>
    </font>
    <font>
      <b/>
      <sz val="11"/>
      <name val="Calibri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/>
    <xf numFmtId="0" fontId="4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8" fillId="2" borderId="1" xfId="0" applyFont="1" applyFill="1" applyBorder="1" applyAlignment="1">
      <alignment horizontal="center" vertical="top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5"/>
  <sheetViews>
    <sheetView workbookViewId="0">
      <selection activeCell="H23" sqref="H23"/>
    </sheetView>
  </sheetViews>
  <sheetFormatPr defaultRowHeight="15" x14ac:dyDescent="0.25"/>
  <cols>
    <col min="1" max="1" width="39.7109375" bestFit="1" customWidth="1"/>
    <col min="2" max="2" width="18.42578125" bestFit="1" customWidth="1"/>
    <col min="3" max="3" width="39.5703125" customWidth="1"/>
    <col min="7" max="7" width="12.28515625" customWidth="1"/>
    <col min="8" max="8" width="9.28515625" customWidth="1"/>
    <col min="9" max="9" width="13.7109375" bestFit="1" customWidth="1"/>
  </cols>
  <sheetData>
    <row r="1" spans="1:9" ht="18.75" x14ac:dyDescent="0.25">
      <c r="A1" s="19" t="s">
        <v>105</v>
      </c>
      <c r="B1" s="19"/>
      <c r="C1" s="19"/>
    </row>
    <row r="2" spans="1:9" x14ac:dyDescent="0.25">
      <c r="A2" s="6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</row>
    <row r="3" spans="1:9" x14ac:dyDescent="0.25">
      <c r="A3" s="2" t="s">
        <v>0</v>
      </c>
      <c r="B3" s="2" t="s">
        <v>14</v>
      </c>
      <c r="C3" s="2" t="s">
        <v>15</v>
      </c>
      <c r="D3" s="3">
        <v>6</v>
      </c>
      <c r="E3" s="3" t="s">
        <v>16</v>
      </c>
      <c r="F3" s="3">
        <v>1780</v>
      </c>
      <c r="G3" s="3">
        <v>5</v>
      </c>
      <c r="H3" s="3">
        <v>534</v>
      </c>
      <c r="I3" s="3">
        <v>11214</v>
      </c>
    </row>
    <row r="4" spans="1:9" x14ac:dyDescent="0.25">
      <c r="A4" s="2" t="s">
        <v>0</v>
      </c>
      <c r="B4" s="2" t="s">
        <v>14</v>
      </c>
      <c r="C4" s="2" t="s">
        <v>17</v>
      </c>
      <c r="D4" s="3">
        <v>6</v>
      </c>
      <c r="E4" s="3" t="s">
        <v>16</v>
      </c>
      <c r="F4" s="3">
        <v>1315</v>
      </c>
      <c r="G4" s="3">
        <v>5</v>
      </c>
      <c r="H4" s="3">
        <v>394.5</v>
      </c>
      <c r="I4" s="3">
        <v>8284.5</v>
      </c>
    </row>
    <row r="5" spans="1:9" x14ac:dyDescent="0.25">
      <c r="A5" s="2" t="s">
        <v>0</v>
      </c>
      <c r="B5" s="2" t="s">
        <v>14</v>
      </c>
      <c r="C5" s="2" t="s">
        <v>18</v>
      </c>
      <c r="D5" s="3">
        <v>6</v>
      </c>
      <c r="E5" s="3" t="s">
        <v>16</v>
      </c>
      <c r="F5" s="3">
        <v>850</v>
      </c>
      <c r="G5" s="3">
        <v>5</v>
      </c>
      <c r="H5" s="3">
        <v>255</v>
      </c>
      <c r="I5" s="3">
        <v>5355</v>
      </c>
    </row>
    <row r="6" spans="1:9" x14ac:dyDescent="0.25">
      <c r="A6" s="2" t="s">
        <v>0</v>
      </c>
      <c r="B6" s="2" t="s">
        <v>14</v>
      </c>
      <c r="C6" s="2" t="s">
        <v>19</v>
      </c>
      <c r="D6" s="3">
        <v>2</v>
      </c>
      <c r="E6" s="3" t="s">
        <v>20</v>
      </c>
      <c r="F6" s="3">
        <v>5565</v>
      </c>
      <c r="G6" s="3">
        <v>18</v>
      </c>
      <c r="H6" s="3">
        <v>2003.4</v>
      </c>
      <c r="I6" s="3">
        <v>13133.4</v>
      </c>
    </row>
    <row r="7" spans="1:9" x14ac:dyDescent="0.25">
      <c r="A7" s="2" t="s">
        <v>0</v>
      </c>
      <c r="B7" s="2" t="s">
        <v>14</v>
      </c>
      <c r="C7" s="2" t="s">
        <v>21</v>
      </c>
      <c r="D7" s="3">
        <v>2</v>
      </c>
      <c r="E7" s="3" t="s">
        <v>16</v>
      </c>
      <c r="F7" s="3">
        <v>4615</v>
      </c>
      <c r="G7" s="3">
        <v>18</v>
      </c>
      <c r="H7" s="3">
        <v>1661.4</v>
      </c>
      <c r="I7" s="3">
        <v>10891.4</v>
      </c>
    </row>
    <row r="8" spans="1:9" x14ac:dyDescent="0.25">
      <c r="A8" s="2" t="s">
        <v>0</v>
      </c>
      <c r="B8" s="2" t="s">
        <v>14</v>
      </c>
      <c r="C8" s="2" t="s">
        <v>22</v>
      </c>
      <c r="D8" s="3">
        <v>4</v>
      </c>
      <c r="E8" s="3" t="s">
        <v>20</v>
      </c>
      <c r="F8" s="3">
        <v>300</v>
      </c>
      <c r="G8" s="3">
        <v>18</v>
      </c>
      <c r="H8" s="3">
        <v>216</v>
      </c>
      <c r="I8" s="3">
        <v>1416</v>
      </c>
    </row>
    <row r="9" spans="1:9" x14ac:dyDescent="0.25">
      <c r="A9" s="2" t="s">
        <v>0</v>
      </c>
      <c r="B9" s="2" t="s">
        <v>14</v>
      </c>
      <c r="C9" s="2" t="s">
        <v>23</v>
      </c>
      <c r="D9" s="3">
        <v>4</v>
      </c>
      <c r="E9" s="3" t="s">
        <v>20</v>
      </c>
      <c r="F9" s="3">
        <v>600</v>
      </c>
      <c r="G9" s="3">
        <v>18</v>
      </c>
      <c r="H9" s="3">
        <v>432</v>
      </c>
      <c r="I9" s="3">
        <v>2832</v>
      </c>
    </row>
    <row r="10" spans="1:9" x14ac:dyDescent="0.25">
      <c r="A10" s="2" t="s">
        <v>0</v>
      </c>
      <c r="B10" s="2" t="s">
        <v>24</v>
      </c>
      <c r="C10" s="2" t="s">
        <v>25</v>
      </c>
      <c r="D10" s="3">
        <v>2</v>
      </c>
      <c r="E10" s="3" t="s">
        <v>20</v>
      </c>
      <c r="F10" s="3">
        <v>3900</v>
      </c>
      <c r="G10" s="3">
        <v>18</v>
      </c>
      <c r="H10" s="3">
        <v>1404</v>
      </c>
      <c r="I10" s="3">
        <v>9204</v>
      </c>
    </row>
    <row r="11" spans="1:9" x14ac:dyDescent="0.25">
      <c r="A11" s="2" t="s">
        <v>0</v>
      </c>
      <c r="B11" s="2" t="s">
        <v>24</v>
      </c>
      <c r="C11" s="2" t="s">
        <v>26</v>
      </c>
      <c r="D11" s="3">
        <v>2</v>
      </c>
      <c r="E11" s="3" t="s">
        <v>20</v>
      </c>
      <c r="F11" s="3">
        <v>1850</v>
      </c>
      <c r="G11" s="3">
        <v>18</v>
      </c>
      <c r="H11" s="3">
        <v>666</v>
      </c>
      <c r="I11" s="3">
        <v>4366</v>
      </c>
    </row>
    <row r="12" spans="1:9" x14ac:dyDescent="0.25">
      <c r="A12" s="2" t="s">
        <v>0</v>
      </c>
      <c r="B12" s="2" t="s">
        <v>24</v>
      </c>
      <c r="C12" s="2" t="s">
        <v>27</v>
      </c>
      <c r="D12" s="3">
        <v>1</v>
      </c>
      <c r="E12" s="3" t="s">
        <v>20</v>
      </c>
      <c r="F12" s="3">
        <v>1500</v>
      </c>
      <c r="G12" s="3">
        <v>18</v>
      </c>
      <c r="H12" s="3">
        <v>270</v>
      </c>
      <c r="I12" s="3">
        <v>1770</v>
      </c>
    </row>
    <row r="13" spans="1:9" x14ac:dyDescent="0.25">
      <c r="A13" s="2" t="s">
        <v>0</v>
      </c>
      <c r="B13" s="2" t="s">
        <v>24</v>
      </c>
      <c r="C13" s="2" t="s">
        <v>28</v>
      </c>
      <c r="D13" s="3">
        <v>10</v>
      </c>
      <c r="E13" s="3" t="s">
        <v>29</v>
      </c>
      <c r="F13" s="3">
        <v>75</v>
      </c>
      <c r="G13" s="3">
        <v>18</v>
      </c>
      <c r="H13" s="3">
        <v>135</v>
      </c>
      <c r="I13" s="3">
        <v>885</v>
      </c>
    </row>
    <row r="14" spans="1:9" x14ac:dyDescent="0.25">
      <c r="A14" s="2" t="s">
        <v>0</v>
      </c>
      <c r="B14" s="2" t="s">
        <v>24</v>
      </c>
      <c r="C14" s="2" t="s">
        <v>23</v>
      </c>
      <c r="D14" s="3">
        <v>4</v>
      </c>
      <c r="E14" s="3" t="s">
        <v>20</v>
      </c>
      <c r="F14" s="3">
        <v>600</v>
      </c>
      <c r="G14" s="3">
        <v>18</v>
      </c>
      <c r="H14" s="3">
        <v>432</v>
      </c>
      <c r="I14" s="3">
        <v>2832</v>
      </c>
    </row>
    <row r="15" spans="1:9" x14ac:dyDescent="0.25">
      <c r="A15" s="2" t="s">
        <v>0</v>
      </c>
      <c r="B15" s="2" t="s">
        <v>24</v>
      </c>
      <c r="C15" s="2" t="s">
        <v>30</v>
      </c>
      <c r="D15" s="3">
        <v>4</v>
      </c>
      <c r="E15" s="3" t="s">
        <v>20</v>
      </c>
      <c r="F15" s="3">
        <v>960</v>
      </c>
      <c r="G15" s="3">
        <v>18</v>
      </c>
      <c r="H15" s="3">
        <v>691.2</v>
      </c>
      <c r="I15" s="3">
        <v>4531.2</v>
      </c>
    </row>
    <row r="16" spans="1:9" x14ac:dyDescent="0.25">
      <c r="A16" s="2" t="s">
        <v>0</v>
      </c>
      <c r="B16" s="2" t="s">
        <v>24</v>
      </c>
      <c r="C16" s="2" t="s">
        <v>31</v>
      </c>
      <c r="D16" s="3">
        <v>4</v>
      </c>
      <c r="E16" s="3" t="s">
        <v>16</v>
      </c>
      <c r="F16" s="3">
        <v>1550</v>
      </c>
      <c r="G16" s="3">
        <v>5</v>
      </c>
      <c r="H16" s="3">
        <v>310</v>
      </c>
      <c r="I16" s="3">
        <v>6510</v>
      </c>
    </row>
    <row r="17" spans="1:9" x14ac:dyDescent="0.25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2"/>
      <c r="B18" s="2"/>
      <c r="C18" s="16" t="s">
        <v>106</v>
      </c>
      <c r="D18" s="17"/>
      <c r="E18" s="5"/>
      <c r="F18" s="5"/>
      <c r="G18" s="5"/>
      <c r="H18" s="5"/>
      <c r="I18" s="7">
        <f>SUM(I3:I16)</f>
        <v>83224.5</v>
      </c>
    </row>
    <row r="19" spans="1:9" x14ac:dyDescent="0.25">
      <c r="A19" s="2"/>
      <c r="B19" s="2"/>
      <c r="C19" s="2"/>
      <c r="D19" s="2"/>
      <c r="E19" s="2"/>
      <c r="F19" s="2"/>
      <c r="G19" s="2"/>
      <c r="H19" s="2"/>
      <c r="I19" s="2"/>
    </row>
    <row r="65" spans="1:1" x14ac:dyDescent="0.25">
      <c r="A65" s="1"/>
    </row>
  </sheetData>
  <autoFilter ref="A2:I2" xr:uid="{00000000-0001-0000-0100-000000000000}"/>
  <mergeCells count="2">
    <mergeCell ref="A1:C1"/>
    <mergeCell ref="C18:D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40F34-8D31-42E4-BB63-00AF52144536}">
  <dimension ref="A2:J26"/>
  <sheetViews>
    <sheetView workbookViewId="0">
      <selection sqref="A1:I19"/>
    </sheetView>
  </sheetViews>
  <sheetFormatPr defaultRowHeight="15" x14ac:dyDescent="0.25"/>
  <cols>
    <col min="1" max="1" width="30.28515625" bestFit="1" customWidth="1"/>
    <col min="2" max="2" width="18.42578125" bestFit="1" customWidth="1"/>
    <col min="3" max="3" width="36.28515625" bestFit="1" customWidth="1"/>
    <col min="4" max="4" width="9.5703125" customWidth="1"/>
    <col min="5" max="5" width="10.28515625" customWidth="1"/>
    <col min="6" max="6" width="13.5703125" customWidth="1"/>
    <col min="7" max="7" width="19.5703125" bestFit="1" customWidth="1"/>
    <col min="8" max="8" width="14.5703125" customWidth="1"/>
    <col min="9" max="9" width="19" bestFit="1" customWidth="1"/>
    <col min="10" max="10" width="13.7109375" bestFit="1" customWidth="1"/>
  </cols>
  <sheetData>
    <row r="2" spans="1:10" ht="18.75" x14ac:dyDescent="0.3">
      <c r="A2" s="2"/>
      <c r="B2" s="20" t="s">
        <v>124</v>
      </c>
      <c r="C2" s="21"/>
      <c r="D2" s="21"/>
      <c r="E2" s="21"/>
      <c r="F2" s="21"/>
      <c r="G2" s="22"/>
      <c r="H2" s="2"/>
      <c r="I2" s="2"/>
    </row>
    <row r="3" spans="1:10" x14ac:dyDescent="0.25">
      <c r="A3" s="8" t="s">
        <v>5</v>
      </c>
      <c r="B3" s="8" t="s">
        <v>6</v>
      </c>
      <c r="C3" s="8" t="s">
        <v>7</v>
      </c>
      <c r="D3" s="8" t="s">
        <v>8</v>
      </c>
      <c r="E3" s="8" t="s">
        <v>9</v>
      </c>
      <c r="F3" s="8" t="s">
        <v>10</v>
      </c>
      <c r="G3" s="15" t="s">
        <v>117</v>
      </c>
      <c r="H3" s="8" t="s">
        <v>11</v>
      </c>
      <c r="I3" s="15" t="s">
        <v>118</v>
      </c>
    </row>
    <row r="4" spans="1:10" x14ac:dyDescent="0.25">
      <c r="A4" s="2" t="s">
        <v>4</v>
      </c>
      <c r="B4" s="2" t="s">
        <v>74</v>
      </c>
      <c r="C4" s="2" t="s">
        <v>75</v>
      </c>
      <c r="D4" s="3">
        <v>2</v>
      </c>
      <c r="E4" s="3" t="s">
        <v>34</v>
      </c>
      <c r="F4" s="3">
        <v>3780</v>
      </c>
      <c r="G4" s="3">
        <f>F4*D4</f>
        <v>7560</v>
      </c>
      <c r="H4" s="3">
        <v>18</v>
      </c>
      <c r="I4" s="3">
        <f>G4*(1+H4/100)</f>
        <v>8920.7999999999993</v>
      </c>
      <c r="J4" s="1"/>
    </row>
    <row r="5" spans="1:10" x14ac:dyDescent="0.25">
      <c r="A5" s="2" t="s">
        <v>4</v>
      </c>
      <c r="B5" s="2" t="s">
        <v>74</v>
      </c>
      <c r="C5" s="2" t="s">
        <v>76</v>
      </c>
      <c r="D5" s="3">
        <v>2</v>
      </c>
      <c r="E5" s="3" t="s">
        <v>34</v>
      </c>
      <c r="F5" s="3">
        <v>4930</v>
      </c>
      <c r="G5" s="3">
        <f t="shared" ref="G5:G16" si="0">F5*D5</f>
        <v>9860</v>
      </c>
      <c r="H5" s="3">
        <v>18</v>
      </c>
      <c r="I5" s="3">
        <f t="shared" ref="I5:I16" si="1">G5*(1+H5/100)</f>
        <v>11634.8</v>
      </c>
      <c r="J5" s="1"/>
    </row>
    <row r="6" spans="1:10" x14ac:dyDescent="0.25">
      <c r="A6" s="2" t="s">
        <v>4</v>
      </c>
      <c r="B6" s="2" t="s">
        <v>74</v>
      </c>
      <c r="C6" s="2" t="s">
        <v>77</v>
      </c>
      <c r="D6" s="3">
        <v>2</v>
      </c>
      <c r="E6" s="3" t="s">
        <v>34</v>
      </c>
      <c r="F6" s="3">
        <v>5950</v>
      </c>
      <c r="G6" s="3">
        <f t="shared" si="0"/>
        <v>11900</v>
      </c>
      <c r="H6" s="3">
        <v>18</v>
      </c>
      <c r="I6" s="3">
        <f t="shared" si="1"/>
        <v>14042</v>
      </c>
      <c r="J6" s="1"/>
    </row>
    <row r="7" spans="1:10" x14ac:dyDescent="0.25">
      <c r="A7" s="2" t="s">
        <v>4</v>
      </c>
      <c r="B7" s="2" t="s">
        <v>74</v>
      </c>
      <c r="C7" s="2" t="s">
        <v>78</v>
      </c>
      <c r="D7" s="3">
        <v>2</v>
      </c>
      <c r="E7" s="3" t="s">
        <v>34</v>
      </c>
      <c r="F7" s="3">
        <v>1990</v>
      </c>
      <c r="G7" s="3">
        <f t="shared" si="0"/>
        <v>3980</v>
      </c>
      <c r="H7" s="3">
        <v>18</v>
      </c>
      <c r="I7" s="3">
        <f t="shared" si="1"/>
        <v>4696.3999999999996</v>
      </c>
      <c r="J7" s="1"/>
    </row>
    <row r="8" spans="1:10" x14ac:dyDescent="0.25">
      <c r="A8" s="2" t="s">
        <v>4</v>
      </c>
      <c r="B8" s="2" t="s">
        <v>74</v>
      </c>
      <c r="C8" s="2" t="s">
        <v>79</v>
      </c>
      <c r="D8" s="3">
        <v>4</v>
      </c>
      <c r="E8" s="3" t="s">
        <v>34</v>
      </c>
      <c r="F8" s="3">
        <v>175</v>
      </c>
      <c r="G8" s="3">
        <f t="shared" si="0"/>
        <v>700</v>
      </c>
      <c r="H8" s="3">
        <v>18</v>
      </c>
      <c r="I8" s="3">
        <f t="shared" si="1"/>
        <v>826</v>
      </c>
      <c r="J8" s="1"/>
    </row>
    <row r="9" spans="1:10" x14ac:dyDescent="0.25">
      <c r="A9" s="2" t="s">
        <v>4</v>
      </c>
      <c r="B9" s="2" t="s">
        <v>74</v>
      </c>
      <c r="C9" s="2" t="s">
        <v>80</v>
      </c>
      <c r="D9" s="3">
        <v>8</v>
      </c>
      <c r="E9" s="3" t="s">
        <v>34</v>
      </c>
      <c r="F9" s="3">
        <v>530</v>
      </c>
      <c r="G9" s="3">
        <f t="shared" si="0"/>
        <v>4240</v>
      </c>
      <c r="H9" s="3">
        <v>18</v>
      </c>
      <c r="I9" s="3">
        <f t="shared" si="1"/>
        <v>5003.2</v>
      </c>
      <c r="J9" s="1"/>
    </row>
    <row r="10" spans="1:10" x14ac:dyDescent="0.25">
      <c r="A10" s="2" t="s">
        <v>4</v>
      </c>
      <c r="B10" s="2" t="s">
        <v>74</v>
      </c>
      <c r="C10" s="2" t="s">
        <v>81</v>
      </c>
      <c r="D10" s="3">
        <v>4</v>
      </c>
      <c r="E10" s="3" t="s">
        <v>34</v>
      </c>
      <c r="F10" s="3">
        <v>700</v>
      </c>
      <c r="G10" s="3">
        <f t="shared" si="0"/>
        <v>2800</v>
      </c>
      <c r="H10" s="3">
        <v>18</v>
      </c>
      <c r="I10" s="3">
        <f t="shared" si="1"/>
        <v>3304</v>
      </c>
      <c r="J10" s="1"/>
    </row>
    <row r="11" spans="1:10" x14ac:dyDescent="0.25">
      <c r="A11" s="2" t="s">
        <v>4</v>
      </c>
      <c r="B11" s="2" t="s">
        <v>74</v>
      </c>
      <c r="C11" s="2" t="s">
        <v>82</v>
      </c>
      <c r="D11" s="3">
        <v>10</v>
      </c>
      <c r="E11" s="3" t="s">
        <v>29</v>
      </c>
      <c r="F11" s="3">
        <v>60</v>
      </c>
      <c r="G11" s="3">
        <f t="shared" si="0"/>
        <v>600</v>
      </c>
      <c r="H11" s="3">
        <v>18</v>
      </c>
      <c r="I11" s="3">
        <f t="shared" si="1"/>
        <v>708</v>
      </c>
      <c r="J11" s="14"/>
    </row>
    <row r="12" spans="1:10" x14ac:dyDescent="0.25">
      <c r="A12" s="2" t="s">
        <v>4</v>
      </c>
      <c r="B12" s="2" t="s">
        <v>119</v>
      </c>
      <c r="C12" s="2" t="s">
        <v>15</v>
      </c>
      <c r="D12" s="3">
        <v>6</v>
      </c>
      <c r="E12" s="3" t="s">
        <v>16</v>
      </c>
      <c r="F12" s="3">
        <v>1650</v>
      </c>
      <c r="G12" s="3">
        <f t="shared" si="0"/>
        <v>9900</v>
      </c>
      <c r="H12" s="3">
        <v>5</v>
      </c>
      <c r="I12" s="3">
        <f t="shared" si="1"/>
        <v>10395</v>
      </c>
      <c r="J12" s="1"/>
    </row>
    <row r="13" spans="1:10" x14ac:dyDescent="0.25">
      <c r="A13" s="2" t="s">
        <v>4</v>
      </c>
      <c r="B13" s="2" t="s">
        <v>120</v>
      </c>
      <c r="C13" s="2" t="s">
        <v>17</v>
      </c>
      <c r="D13" s="3">
        <v>6</v>
      </c>
      <c r="E13" s="3" t="s">
        <v>16</v>
      </c>
      <c r="F13" s="3">
        <v>1250</v>
      </c>
      <c r="G13" s="3">
        <f t="shared" si="0"/>
        <v>7500</v>
      </c>
      <c r="H13" s="3">
        <v>5</v>
      </c>
      <c r="I13" s="3">
        <f t="shared" si="1"/>
        <v>7875</v>
      </c>
      <c r="J13" s="1"/>
    </row>
    <row r="14" spans="1:10" x14ac:dyDescent="0.25">
      <c r="A14" s="2" t="s">
        <v>4</v>
      </c>
      <c r="B14" s="2" t="s">
        <v>121</v>
      </c>
      <c r="C14" s="2" t="s">
        <v>18</v>
      </c>
      <c r="D14" s="3">
        <v>6</v>
      </c>
      <c r="E14" s="3" t="s">
        <v>16</v>
      </c>
      <c r="F14" s="3">
        <v>680</v>
      </c>
      <c r="G14" s="3">
        <f t="shared" si="0"/>
        <v>4080</v>
      </c>
      <c r="H14" s="3">
        <v>5</v>
      </c>
      <c r="I14" s="3">
        <f t="shared" si="1"/>
        <v>4284</v>
      </c>
      <c r="J14" s="1"/>
    </row>
    <row r="15" spans="1:10" x14ac:dyDescent="0.25">
      <c r="A15" s="2" t="s">
        <v>4</v>
      </c>
      <c r="B15" s="2" t="s">
        <v>122</v>
      </c>
      <c r="C15" s="2" t="s">
        <v>27</v>
      </c>
      <c r="D15" s="3">
        <v>1</v>
      </c>
      <c r="E15" s="3" t="s">
        <v>20</v>
      </c>
      <c r="F15" s="3"/>
      <c r="G15" s="3">
        <f t="shared" si="0"/>
        <v>0</v>
      </c>
      <c r="H15" s="3">
        <v>5</v>
      </c>
      <c r="I15" s="3">
        <f t="shared" si="1"/>
        <v>0</v>
      </c>
      <c r="J15" s="1"/>
    </row>
    <row r="16" spans="1:10" x14ac:dyDescent="0.25">
      <c r="A16" s="2" t="s">
        <v>4</v>
      </c>
      <c r="B16" s="2" t="s">
        <v>123</v>
      </c>
      <c r="C16" s="2" t="s">
        <v>31</v>
      </c>
      <c r="D16" s="3">
        <v>4</v>
      </c>
      <c r="E16" s="3" t="s">
        <v>16</v>
      </c>
      <c r="F16" s="3">
        <v>1150</v>
      </c>
      <c r="G16" s="3">
        <f t="shared" si="0"/>
        <v>4600</v>
      </c>
      <c r="H16" s="3">
        <v>5</v>
      </c>
      <c r="I16" s="3">
        <f t="shared" si="1"/>
        <v>4830</v>
      </c>
      <c r="J16" s="1"/>
    </row>
    <row r="17" spans="1:10" x14ac:dyDescent="0.25">
      <c r="A17" s="2"/>
      <c r="B17" s="2"/>
      <c r="C17" s="2"/>
      <c r="D17" s="3"/>
      <c r="E17" s="3"/>
      <c r="F17" s="3"/>
      <c r="G17" s="16" t="s">
        <v>104</v>
      </c>
      <c r="H17" s="17"/>
      <c r="I17" s="7">
        <f>SUM(I4:I16)</f>
        <v>76519.199999999997</v>
      </c>
      <c r="J17" s="1"/>
    </row>
    <row r="18" spans="1:10" x14ac:dyDescent="0.25">
      <c r="A18" s="2"/>
      <c r="B18" s="2"/>
      <c r="C18" s="2"/>
      <c r="D18" s="3"/>
      <c r="E18" s="3"/>
      <c r="F18" s="2"/>
      <c r="G18" s="2"/>
      <c r="H18" s="2"/>
      <c r="I18" s="2"/>
    </row>
    <row r="19" spans="1:10" x14ac:dyDescent="0.25">
      <c r="A19" s="2"/>
      <c r="B19" s="2"/>
      <c r="C19" s="2"/>
      <c r="D19" s="3"/>
      <c r="E19" s="3"/>
      <c r="F19" s="2"/>
      <c r="G19" s="2"/>
      <c r="H19" s="2"/>
      <c r="I19" s="2"/>
    </row>
    <row r="20" spans="1:10" x14ac:dyDescent="0.25">
      <c r="D20" s="1"/>
      <c r="E20" s="1"/>
    </row>
    <row r="21" spans="1:10" x14ac:dyDescent="0.25">
      <c r="D21" s="1"/>
      <c r="E21" s="1"/>
    </row>
    <row r="22" spans="1:10" x14ac:dyDescent="0.25">
      <c r="D22" s="1"/>
      <c r="E22" s="1"/>
    </row>
    <row r="24" spans="1:10" x14ac:dyDescent="0.25">
      <c r="D24" s="1"/>
      <c r="E24" s="1"/>
    </row>
    <row r="25" spans="1:10" x14ac:dyDescent="0.25">
      <c r="D25" s="1"/>
      <c r="E25" s="1"/>
    </row>
    <row r="26" spans="1:10" x14ac:dyDescent="0.25">
      <c r="D26" s="1"/>
      <c r="E26" s="1"/>
    </row>
  </sheetData>
  <autoFilter ref="A3:I3" xr:uid="{33440F34-8D31-42E4-BB63-00AF52144536}"/>
  <mergeCells count="2">
    <mergeCell ref="G17:H17"/>
    <mergeCell ref="B2:G2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E24CC-34CC-49E2-A284-01A81B03166A}">
  <dimension ref="A2:J28"/>
  <sheetViews>
    <sheetView topLeftCell="B1" zoomScaleNormal="100" workbookViewId="0">
      <selection activeCell="E14" sqref="E14"/>
    </sheetView>
  </sheetViews>
  <sheetFormatPr defaultRowHeight="15" x14ac:dyDescent="0.25"/>
  <cols>
    <col min="1" max="1" width="39.7109375" bestFit="1" customWidth="1"/>
    <col min="2" max="2" width="16.140625" bestFit="1" customWidth="1"/>
    <col min="3" max="3" width="84.42578125" customWidth="1"/>
    <col min="4" max="4" width="7.85546875" customWidth="1"/>
    <col min="5" max="5" width="18.5703125" customWidth="1"/>
    <col min="6" max="6" width="11.7109375" customWidth="1"/>
    <col min="7" max="7" width="15.7109375" customWidth="1"/>
    <col min="8" max="8" width="10.85546875" customWidth="1"/>
    <col min="9" max="9" width="11.85546875" customWidth="1"/>
    <col min="10" max="10" width="15.42578125" customWidth="1"/>
  </cols>
  <sheetData>
    <row r="2" spans="1:10" ht="15.75" x14ac:dyDescent="0.25">
      <c r="B2" s="23" t="s">
        <v>115</v>
      </c>
      <c r="C2" s="23"/>
      <c r="D2" s="23"/>
      <c r="E2" s="23"/>
    </row>
    <row r="3" spans="1:10" x14ac:dyDescent="0.25">
      <c r="A3" s="11" t="s">
        <v>5</v>
      </c>
      <c r="B3" s="11" t="s">
        <v>6</v>
      </c>
      <c r="C3" s="11" t="s">
        <v>7</v>
      </c>
      <c r="D3" s="11" t="s">
        <v>8</v>
      </c>
      <c r="E3" s="11" t="s">
        <v>9</v>
      </c>
      <c r="F3" s="11" t="s">
        <v>10</v>
      </c>
      <c r="G3" s="12" t="s">
        <v>112</v>
      </c>
      <c r="H3" s="11" t="s">
        <v>11</v>
      </c>
      <c r="I3" s="11" t="s">
        <v>12</v>
      </c>
      <c r="J3" s="11" t="s">
        <v>13</v>
      </c>
    </row>
    <row r="4" spans="1:10" x14ac:dyDescent="0.25">
      <c r="A4" s="3" t="s">
        <v>1</v>
      </c>
      <c r="B4" s="3" t="s">
        <v>32</v>
      </c>
      <c r="C4" s="9" t="s">
        <v>33</v>
      </c>
      <c r="D4" s="3">
        <v>6</v>
      </c>
      <c r="E4" s="3" t="s">
        <v>34</v>
      </c>
      <c r="F4" s="3">
        <v>1798</v>
      </c>
      <c r="G4" s="3">
        <f>F4*D4</f>
        <v>10788</v>
      </c>
      <c r="H4" s="3">
        <v>5</v>
      </c>
      <c r="I4" s="3">
        <v>89.9</v>
      </c>
      <c r="J4" s="3">
        <f>G4*(1+H4/100)</f>
        <v>11327.4</v>
      </c>
    </row>
    <row r="5" spans="1:10" x14ac:dyDescent="0.25">
      <c r="A5" s="3" t="s">
        <v>1</v>
      </c>
      <c r="B5" s="3" t="s">
        <v>32</v>
      </c>
      <c r="C5" s="9" t="s">
        <v>35</v>
      </c>
      <c r="D5" s="3">
        <v>4</v>
      </c>
      <c r="E5" s="3" t="s">
        <v>34</v>
      </c>
      <c r="F5" s="3">
        <v>1698</v>
      </c>
      <c r="G5" s="3">
        <f t="shared" ref="G5:G14" si="0">F5*D5</f>
        <v>6792</v>
      </c>
      <c r="H5" s="3">
        <v>5</v>
      </c>
      <c r="I5" s="3">
        <v>84.9</v>
      </c>
      <c r="J5" s="3">
        <f t="shared" ref="J5:J14" si="1">G5*(1+H5/100)</f>
        <v>7131.6</v>
      </c>
    </row>
    <row r="6" spans="1:10" x14ac:dyDescent="0.25">
      <c r="A6" s="3" t="s">
        <v>1</v>
      </c>
      <c r="B6" s="3" t="s">
        <v>32</v>
      </c>
      <c r="C6" s="9" t="s">
        <v>36</v>
      </c>
      <c r="D6" s="3">
        <v>8</v>
      </c>
      <c r="E6" s="3" t="s">
        <v>34</v>
      </c>
      <c r="F6" s="3">
        <v>869</v>
      </c>
      <c r="G6" s="3">
        <f t="shared" si="0"/>
        <v>6952</v>
      </c>
      <c r="H6" s="3">
        <v>18</v>
      </c>
      <c r="I6" s="3">
        <v>156.41999999999999</v>
      </c>
      <c r="J6" s="3">
        <f t="shared" si="1"/>
        <v>8203.3599999999988</v>
      </c>
    </row>
    <row r="7" spans="1:10" x14ac:dyDescent="0.25">
      <c r="A7" s="3" t="s">
        <v>1</v>
      </c>
      <c r="B7" s="3" t="s">
        <v>32</v>
      </c>
      <c r="C7" s="9" t="s">
        <v>37</v>
      </c>
      <c r="D7" s="3">
        <v>4</v>
      </c>
      <c r="E7" s="3" t="s">
        <v>34</v>
      </c>
      <c r="F7" s="3">
        <v>1199</v>
      </c>
      <c r="G7" s="3">
        <f t="shared" si="0"/>
        <v>4796</v>
      </c>
      <c r="H7" s="3">
        <v>18</v>
      </c>
      <c r="I7" s="3">
        <v>215.82</v>
      </c>
      <c r="J7" s="3">
        <f t="shared" si="1"/>
        <v>5659.28</v>
      </c>
    </row>
    <row r="8" spans="1:10" x14ac:dyDescent="0.25">
      <c r="A8" s="3" t="s">
        <v>1</v>
      </c>
      <c r="B8" s="3" t="s">
        <v>32</v>
      </c>
      <c r="C8" s="9" t="s">
        <v>38</v>
      </c>
      <c r="D8" s="3">
        <v>4</v>
      </c>
      <c r="E8" s="3" t="s">
        <v>34</v>
      </c>
      <c r="F8" s="3">
        <v>398</v>
      </c>
      <c r="G8" s="3">
        <f t="shared" si="0"/>
        <v>1592</v>
      </c>
      <c r="H8" s="3">
        <v>18</v>
      </c>
      <c r="I8" s="3">
        <v>71.64</v>
      </c>
      <c r="J8" s="3">
        <f t="shared" si="1"/>
        <v>1878.56</v>
      </c>
    </row>
    <row r="9" spans="1:10" ht="30" x14ac:dyDescent="0.25">
      <c r="A9" s="3" t="s">
        <v>1</v>
      </c>
      <c r="B9" s="3" t="s">
        <v>32</v>
      </c>
      <c r="C9" s="10" t="s">
        <v>39</v>
      </c>
      <c r="D9" s="3">
        <v>2</v>
      </c>
      <c r="E9" s="3" t="s">
        <v>34</v>
      </c>
      <c r="F9" s="3">
        <v>4250</v>
      </c>
      <c r="G9" s="3">
        <f t="shared" si="0"/>
        <v>8500</v>
      </c>
      <c r="H9" s="3">
        <v>18</v>
      </c>
      <c r="I9" s="3">
        <v>765</v>
      </c>
      <c r="J9" s="3">
        <f t="shared" si="1"/>
        <v>10030</v>
      </c>
    </row>
    <row r="10" spans="1:10" ht="30" x14ac:dyDescent="0.25">
      <c r="A10" s="3" t="s">
        <v>1</v>
      </c>
      <c r="B10" s="3" t="s">
        <v>32</v>
      </c>
      <c r="C10" s="10" t="s">
        <v>40</v>
      </c>
      <c r="D10" s="3">
        <v>2</v>
      </c>
      <c r="E10" s="3" t="s">
        <v>34</v>
      </c>
      <c r="F10" s="3">
        <v>5350</v>
      </c>
      <c r="G10" s="3">
        <f t="shared" si="0"/>
        <v>10700</v>
      </c>
      <c r="H10" s="3">
        <v>18</v>
      </c>
      <c r="I10" s="3">
        <v>963</v>
      </c>
      <c r="J10" s="3">
        <f t="shared" si="1"/>
        <v>12626</v>
      </c>
    </row>
    <row r="11" spans="1:10" ht="30" x14ac:dyDescent="0.25">
      <c r="A11" s="3" t="s">
        <v>1</v>
      </c>
      <c r="B11" s="3" t="s">
        <v>32</v>
      </c>
      <c r="C11" s="10" t="s">
        <v>41</v>
      </c>
      <c r="D11" s="3">
        <v>2</v>
      </c>
      <c r="E11" s="3" t="s">
        <v>34</v>
      </c>
      <c r="F11" s="3">
        <v>6650</v>
      </c>
      <c r="G11" s="3">
        <f t="shared" si="0"/>
        <v>13300</v>
      </c>
      <c r="H11" s="3">
        <v>18</v>
      </c>
      <c r="I11" s="3">
        <v>1197</v>
      </c>
      <c r="J11" s="3">
        <f t="shared" si="1"/>
        <v>15694</v>
      </c>
    </row>
    <row r="12" spans="1:10" ht="30" x14ac:dyDescent="0.25">
      <c r="A12" s="3" t="s">
        <v>1</v>
      </c>
      <c r="B12" s="3" t="s">
        <v>32</v>
      </c>
      <c r="C12" s="10" t="s">
        <v>42</v>
      </c>
      <c r="D12" s="3">
        <v>2</v>
      </c>
      <c r="E12" s="3" t="s">
        <v>34</v>
      </c>
      <c r="F12" s="3">
        <v>2250</v>
      </c>
      <c r="G12" s="3">
        <f t="shared" si="0"/>
        <v>4500</v>
      </c>
      <c r="H12" s="3">
        <v>18</v>
      </c>
      <c r="I12" s="3">
        <v>405</v>
      </c>
      <c r="J12" s="3">
        <f t="shared" si="1"/>
        <v>5310</v>
      </c>
    </row>
    <row r="13" spans="1:10" x14ac:dyDescent="0.25">
      <c r="A13" s="3" t="s">
        <v>1</v>
      </c>
      <c r="B13" s="3" t="s">
        <v>32</v>
      </c>
      <c r="C13" s="9" t="s">
        <v>109</v>
      </c>
      <c r="D13" s="3">
        <v>10</v>
      </c>
      <c r="E13" s="3" t="s">
        <v>29</v>
      </c>
      <c r="F13" s="3">
        <v>76</v>
      </c>
      <c r="G13" s="3">
        <f t="shared" si="0"/>
        <v>760</v>
      </c>
      <c r="H13" s="3">
        <v>18</v>
      </c>
      <c r="I13" s="3">
        <v>13.68</v>
      </c>
      <c r="J13" s="3">
        <f t="shared" si="1"/>
        <v>896.8</v>
      </c>
    </row>
    <row r="14" spans="1:10" x14ac:dyDescent="0.25">
      <c r="A14" s="3" t="s">
        <v>1</v>
      </c>
      <c r="B14" s="3" t="s">
        <v>110</v>
      </c>
      <c r="C14" s="9" t="s">
        <v>17</v>
      </c>
      <c r="D14" s="3">
        <v>6</v>
      </c>
      <c r="E14" s="3" t="s">
        <v>114</v>
      </c>
      <c r="F14" s="3"/>
      <c r="G14" s="3"/>
      <c r="H14" s="3"/>
      <c r="I14" s="3"/>
      <c r="J14" s="3"/>
    </row>
    <row r="15" spans="1:10" x14ac:dyDescent="0.25">
      <c r="A15" s="3" t="s">
        <v>1</v>
      </c>
      <c r="B15" s="3" t="s">
        <v>111</v>
      </c>
      <c r="C15" s="9" t="s">
        <v>18</v>
      </c>
      <c r="D15" s="3">
        <v>6</v>
      </c>
      <c r="E15" s="3" t="s">
        <v>114</v>
      </c>
      <c r="F15" s="3"/>
      <c r="G15" s="3"/>
      <c r="H15" s="3"/>
      <c r="I15" s="3"/>
      <c r="J15" s="3"/>
    </row>
    <row r="16" spans="1:10" x14ac:dyDescent="0.25">
      <c r="A16" s="3" t="s">
        <v>1</v>
      </c>
      <c r="B16" s="3" t="s">
        <v>113</v>
      </c>
      <c r="C16" s="3" t="s">
        <v>27</v>
      </c>
      <c r="D16" s="3">
        <v>2</v>
      </c>
      <c r="E16" s="3" t="s">
        <v>114</v>
      </c>
      <c r="F16" s="3"/>
      <c r="G16" s="3"/>
      <c r="H16" s="3"/>
      <c r="I16" s="3"/>
      <c r="J16" s="3"/>
    </row>
    <row r="17" spans="1:10" x14ac:dyDescent="0.25">
      <c r="A17" s="3"/>
      <c r="B17" s="3"/>
      <c r="C17" s="3"/>
      <c r="D17" s="3"/>
      <c r="E17" s="3"/>
      <c r="F17" s="3"/>
      <c r="G17" s="3"/>
      <c r="H17" s="3"/>
      <c r="I17" s="3"/>
      <c r="J17" s="13">
        <f>SUM(J4:J16)</f>
        <v>78757</v>
      </c>
    </row>
    <row r="19" spans="1:10" x14ac:dyDescent="0.25">
      <c r="D19" s="1"/>
    </row>
    <row r="20" spans="1:10" x14ac:dyDescent="0.25">
      <c r="D20" s="1"/>
    </row>
    <row r="21" spans="1:10" x14ac:dyDescent="0.25">
      <c r="D21" s="1"/>
    </row>
    <row r="22" spans="1:10" x14ac:dyDescent="0.25">
      <c r="D22" s="1"/>
    </row>
    <row r="23" spans="1:10" x14ac:dyDescent="0.25">
      <c r="D23" s="1"/>
    </row>
    <row r="25" spans="1:10" x14ac:dyDescent="0.25">
      <c r="D25" s="1"/>
    </row>
    <row r="26" spans="1:10" x14ac:dyDescent="0.25">
      <c r="D26" s="1"/>
    </row>
    <row r="28" spans="1:10" x14ac:dyDescent="0.25">
      <c r="D28" s="1"/>
    </row>
  </sheetData>
  <autoFilter ref="A3:J3" xr:uid="{057E24CC-34CC-49E2-A284-01A81B03166A}"/>
  <mergeCells count="1">
    <mergeCell ref="B2:E2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E1548-BB33-4093-ADC6-443BEF78F328}">
  <dimension ref="A2:J38"/>
  <sheetViews>
    <sheetView tabSelected="1" topLeftCell="A4" workbookViewId="0">
      <selection activeCell="C14" sqref="C14"/>
    </sheetView>
  </sheetViews>
  <sheetFormatPr defaultRowHeight="15" x14ac:dyDescent="0.25"/>
  <cols>
    <col min="1" max="1" width="17.5703125" bestFit="1" customWidth="1"/>
    <col min="2" max="2" width="9.85546875" bestFit="1" customWidth="1"/>
    <col min="3" max="3" width="41.140625" bestFit="1" customWidth="1"/>
    <col min="4" max="4" width="8.7109375" bestFit="1" customWidth="1"/>
    <col min="5" max="5" width="12.140625" customWidth="1"/>
    <col min="6" max="6" width="15.28515625" customWidth="1"/>
    <col min="7" max="7" width="15" bestFit="1" customWidth="1"/>
    <col min="8" max="8" width="13.42578125" bestFit="1" customWidth="1"/>
    <col min="9" max="9" width="19.7109375" customWidth="1"/>
  </cols>
  <sheetData>
    <row r="2" spans="1:9" ht="18.75" x14ac:dyDescent="0.3">
      <c r="B2" s="18" t="s">
        <v>107</v>
      </c>
      <c r="C2" s="18"/>
      <c r="D2" s="18"/>
      <c r="E2" s="18"/>
      <c r="F2" s="18"/>
      <c r="G2" s="18"/>
    </row>
    <row r="3" spans="1:9" x14ac:dyDescent="0.25">
      <c r="A3" s="8" t="s">
        <v>5</v>
      </c>
      <c r="B3" s="8" t="s">
        <v>6</v>
      </c>
      <c r="C3" s="8" t="s">
        <v>7</v>
      </c>
      <c r="D3" s="8" t="s">
        <v>8</v>
      </c>
      <c r="E3" s="8" t="s">
        <v>9</v>
      </c>
      <c r="F3" s="8" t="s">
        <v>10</v>
      </c>
      <c r="G3" s="8" t="s">
        <v>11</v>
      </c>
      <c r="H3" s="8" t="s">
        <v>12</v>
      </c>
      <c r="I3" s="8" t="s">
        <v>13</v>
      </c>
    </row>
    <row r="4" spans="1:9" x14ac:dyDescent="0.25">
      <c r="A4" s="2" t="s">
        <v>2</v>
      </c>
      <c r="B4" s="2" t="s">
        <v>43</v>
      </c>
      <c r="C4" s="2" t="s">
        <v>44</v>
      </c>
      <c r="D4" s="3">
        <v>2</v>
      </c>
      <c r="E4" s="3" t="s">
        <v>45</v>
      </c>
      <c r="F4" s="3">
        <v>3969</v>
      </c>
      <c r="G4" s="3">
        <v>18</v>
      </c>
      <c r="H4" s="3">
        <v>1428.84</v>
      </c>
      <c r="I4" s="3">
        <v>9366.84</v>
      </c>
    </row>
    <row r="5" spans="1:9" x14ac:dyDescent="0.25">
      <c r="A5" s="2" t="s">
        <v>2</v>
      </c>
      <c r="B5" s="2" t="s">
        <v>43</v>
      </c>
      <c r="C5" s="2" t="s">
        <v>46</v>
      </c>
      <c r="D5" s="3">
        <v>2</v>
      </c>
      <c r="E5" s="3" t="s">
        <v>45</v>
      </c>
      <c r="F5" s="3">
        <v>2375</v>
      </c>
      <c r="G5" s="3">
        <v>18</v>
      </c>
      <c r="H5" s="3">
        <v>855</v>
      </c>
      <c r="I5" s="3">
        <v>5605</v>
      </c>
    </row>
    <row r="6" spans="1:9" x14ac:dyDescent="0.25">
      <c r="A6" s="2" t="s">
        <v>2</v>
      </c>
      <c r="B6" s="2" t="s">
        <v>43</v>
      </c>
      <c r="C6" s="2" t="s">
        <v>47</v>
      </c>
      <c r="D6" s="3">
        <v>1</v>
      </c>
      <c r="E6" s="3" t="s">
        <v>45</v>
      </c>
      <c r="F6" s="3">
        <v>1950</v>
      </c>
      <c r="G6" s="3">
        <v>18</v>
      </c>
      <c r="H6" s="3">
        <v>351</v>
      </c>
      <c r="I6" s="3">
        <v>2301</v>
      </c>
    </row>
    <row r="7" spans="1:9" x14ac:dyDescent="0.25">
      <c r="A7" s="2" t="s">
        <v>2</v>
      </c>
      <c r="B7" s="2" t="s">
        <v>43</v>
      </c>
      <c r="C7" s="2" t="s">
        <v>48</v>
      </c>
      <c r="D7" s="3">
        <v>10</v>
      </c>
      <c r="E7" s="3" t="s">
        <v>49</v>
      </c>
      <c r="F7" s="3">
        <v>58</v>
      </c>
      <c r="G7" s="3">
        <v>18</v>
      </c>
      <c r="H7" s="3">
        <v>104.4</v>
      </c>
      <c r="I7" s="3">
        <v>684.4</v>
      </c>
    </row>
    <row r="8" spans="1:9" x14ac:dyDescent="0.25">
      <c r="A8" s="2" t="s">
        <v>2</v>
      </c>
      <c r="B8" s="2" t="s">
        <v>43</v>
      </c>
      <c r="C8" s="2" t="s">
        <v>50</v>
      </c>
      <c r="D8" s="3">
        <v>8</v>
      </c>
      <c r="E8" s="3" t="s">
        <v>45</v>
      </c>
      <c r="F8" s="3">
        <v>530</v>
      </c>
      <c r="G8" s="3">
        <v>18</v>
      </c>
      <c r="H8" s="3">
        <v>763.2</v>
      </c>
      <c r="I8" s="3">
        <v>5003.2</v>
      </c>
    </row>
    <row r="9" spans="1:9" x14ac:dyDescent="0.25">
      <c r="A9" s="2" t="s">
        <v>2</v>
      </c>
      <c r="B9" s="2" t="s">
        <v>43</v>
      </c>
      <c r="C9" s="2" t="s">
        <v>51</v>
      </c>
      <c r="D9" s="3">
        <v>4</v>
      </c>
      <c r="E9" s="3" t="s">
        <v>45</v>
      </c>
      <c r="F9" s="3">
        <v>830</v>
      </c>
      <c r="G9" s="3">
        <v>18</v>
      </c>
      <c r="H9" s="3">
        <v>597.6</v>
      </c>
      <c r="I9" s="3">
        <v>3917.6</v>
      </c>
    </row>
    <row r="10" spans="1:9" x14ac:dyDescent="0.25">
      <c r="A10" s="2" t="s">
        <v>2</v>
      </c>
      <c r="B10" s="2" t="s">
        <v>43</v>
      </c>
      <c r="C10" s="2" t="s">
        <v>52</v>
      </c>
      <c r="D10" s="3">
        <v>4</v>
      </c>
      <c r="E10" s="3" t="s">
        <v>45</v>
      </c>
      <c r="F10" s="3">
        <v>1226</v>
      </c>
      <c r="G10" s="3">
        <v>5</v>
      </c>
      <c r="H10" s="3">
        <v>245.2</v>
      </c>
      <c r="I10" s="3">
        <v>5149.2</v>
      </c>
    </row>
    <row r="11" spans="1:9" x14ac:dyDescent="0.25">
      <c r="A11" s="2" t="s">
        <v>2</v>
      </c>
      <c r="B11" s="2" t="s">
        <v>43</v>
      </c>
      <c r="C11" s="2" t="s">
        <v>53</v>
      </c>
      <c r="D11" s="3">
        <v>6</v>
      </c>
      <c r="E11" s="3" t="s">
        <v>45</v>
      </c>
      <c r="F11" s="3">
        <v>1408</v>
      </c>
      <c r="G11" s="3">
        <v>5</v>
      </c>
      <c r="H11" s="3">
        <v>422.4</v>
      </c>
      <c r="I11" s="3">
        <v>8870.4</v>
      </c>
    </row>
    <row r="12" spans="1:9" x14ac:dyDescent="0.25">
      <c r="A12" s="2" t="s">
        <v>2</v>
      </c>
      <c r="B12" s="2" t="s">
        <v>43</v>
      </c>
      <c r="C12" s="2" t="s">
        <v>54</v>
      </c>
      <c r="D12" s="3">
        <v>6</v>
      </c>
      <c r="E12" s="3" t="s">
        <v>45</v>
      </c>
      <c r="F12" s="3">
        <v>1008</v>
      </c>
      <c r="G12" s="3">
        <v>5</v>
      </c>
      <c r="H12" s="3">
        <v>302.39999999999998</v>
      </c>
      <c r="I12" s="3">
        <v>6350.4</v>
      </c>
    </row>
    <row r="13" spans="1:9" x14ac:dyDescent="0.25">
      <c r="A13" s="2" t="s">
        <v>2</v>
      </c>
      <c r="B13" s="2" t="s">
        <v>43</v>
      </c>
      <c r="C13" s="2" t="s">
        <v>55</v>
      </c>
      <c r="D13" s="3">
        <v>6</v>
      </c>
      <c r="E13" s="3" t="s">
        <v>45</v>
      </c>
      <c r="F13" s="3">
        <v>797</v>
      </c>
      <c r="G13" s="3">
        <v>5</v>
      </c>
      <c r="H13" s="3">
        <v>239.1</v>
      </c>
      <c r="I13" s="3">
        <v>5021.1000000000004</v>
      </c>
    </row>
    <row r="14" spans="1:9" x14ac:dyDescent="0.25">
      <c r="A14" s="2" t="s">
        <v>2</v>
      </c>
      <c r="B14" s="2" t="s">
        <v>43</v>
      </c>
      <c r="C14" s="2" t="s">
        <v>56</v>
      </c>
      <c r="D14" s="3">
        <v>2</v>
      </c>
      <c r="E14" s="3" t="s">
        <v>45</v>
      </c>
      <c r="F14" s="3">
        <v>5989</v>
      </c>
      <c r="G14" s="3">
        <v>18</v>
      </c>
      <c r="H14" s="3">
        <v>2156.04</v>
      </c>
      <c r="I14" s="3">
        <v>14134.04</v>
      </c>
    </row>
    <row r="15" spans="1:9" x14ac:dyDescent="0.25">
      <c r="A15" s="2" t="s">
        <v>2</v>
      </c>
      <c r="B15" s="2" t="s">
        <v>43</v>
      </c>
      <c r="C15" s="2" t="s">
        <v>57</v>
      </c>
      <c r="D15" s="3">
        <v>2</v>
      </c>
      <c r="E15" s="3" t="s">
        <v>45</v>
      </c>
      <c r="F15" s="3">
        <v>4812</v>
      </c>
      <c r="G15" s="3">
        <v>18</v>
      </c>
      <c r="H15" s="3">
        <v>1732.32</v>
      </c>
      <c r="I15" s="3">
        <v>11356.32</v>
      </c>
    </row>
    <row r="16" spans="1:9" x14ac:dyDescent="0.25">
      <c r="A16" s="2" t="s">
        <v>2</v>
      </c>
      <c r="B16" s="2" t="s">
        <v>43</v>
      </c>
      <c r="C16" s="5" t="s">
        <v>58</v>
      </c>
      <c r="D16" s="13">
        <v>4</v>
      </c>
      <c r="E16" s="13" t="s">
        <v>45</v>
      </c>
      <c r="F16" s="13">
        <v>165</v>
      </c>
      <c r="G16" s="13">
        <v>18</v>
      </c>
      <c r="H16" s="13">
        <v>118.8</v>
      </c>
      <c r="I16" s="13">
        <v>778.8</v>
      </c>
    </row>
    <row r="17" spans="1:10" x14ac:dyDescent="0.25">
      <c r="A17" s="2"/>
      <c r="B17" s="2"/>
      <c r="C17" s="2"/>
      <c r="D17" s="3"/>
      <c r="E17" s="3"/>
      <c r="F17" s="3"/>
      <c r="G17" s="3"/>
      <c r="H17" s="3"/>
      <c r="I17" s="3"/>
    </row>
    <row r="18" spans="1:10" x14ac:dyDescent="0.25">
      <c r="A18" s="2"/>
      <c r="B18" s="2"/>
      <c r="C18" s="2"/>
      <c r="D18" s="3"/>
      <c r="E18" s="3"/>
      <c r="F18" s="3"/>
      <c r="G18" s="3"/>
      <c r="H18" s="3"/>
      <c r="I18" s="3"/>
    </row>
    <row r="19" spans="1:10" x14ac:dyDescent="0.25">
      <c r="A19" s="2"/>
      <c r="B19" s="2"/>
      <c r="C19" s="2"/>
      <c r="D19" s="3"/>
      <c r="E19" s="3"/>
      <c r="F19" s="3"/>
      <c r="G19" s="3"/>
      <c r="H19" s="13">
        <f>SUM(H4:H16)</f>
        <v>9316.2999999999993</v>
      </c>
      <c r="I19" s="13">
        <f>SUM(I4:I16)</f>
        <v>78538.3</v>
      </c>
    </row>
    <row r="21" spans="1:10" ht="18.75" x14ac:dyDescent="0.3">
      <c r="A21" s="2"/>
      <c r="B21" s="20" t="s">
        <v>124</v>
      </c>
      <c r="C21" s="21"/>
      <c r="D21" s="21"/>
      <c r="E21" s="21"/>
      <c r="F21" s="21"/>
      <c r="G21" s="22"/>
      <c r="H21" s="2"/>
      <c r="I21" s="2"/>
    </row>
    <row r="22" spans="1:10" x14ac:dyDescent="0.25">
      <c r="A22" s="8" t="s">
        <v>5</v>
      </c>
      <c r="B22" s="8" t="s">
        <v>6</v>
      </c>
      <c r="C22" s="8" t="s">
        <v>7</v>
      </c>
      <c r="D22" s="8" t="s">
        <v>8</v>
      </c>
      <c r="E22" s="8" t="s">
        <v>9</v>
      </c>
      <c r="F22" s="8" t="s">
        <v>10</v>
      </c>
      <c r="G22" s="15" t="s">
        <v>117</v>
      </c>
      <c r="H22" s="8" t="s">
        <v>11</v>
      </c>
      <c r="I22" s="15" t="s">
        <v>118</v>
      </c>
    </row>
    <row r="23" spans="1:10" x14ac:dyDescent="0.25">
      <c r="A23" s="2" t="s">
        <v>4</v>
      </c>
      <c r="B23" s="2" t="s">
        <v>74</v>
      </c>
      <c r="C23" s="2" t="s">
        <v>75</v>
      </c>
      <c r="D23" s="3">
        <v>2</v>
      </c>
      <c r="E23" s="3" t="s">
        <v>34</v>
      </c>
      <c r="F23" s="3">
        <v>3780</v>
      </c>
      <c r="G23" s="3">
        <f>F23*D23</f>
        <v>7560</v>
      </c>
      <c r="H23" s="3">
        <v>18</v>
      </c>
      <c r="I23" s="3">
        <f>G23*(1+H23/100)</f>
        <v>8920.7999999999993</v>
      </c>
      <c r="J23">
        <f>F4-F23</f>
        <v>189</v>
      </c>
    </row>
    <row r="24" spans="1:10" x14ac:dyDescent="0.25">
      <c r="A24" s="2" t="s">
        <v>4</v>
      </c>
      <c r="B24" s="2" t="s">
        <v>74</v>
      </c>
      <c r="C24" s="2" t="s">
        <v>76</v>
      </c>
      <c r="D24" s="3">
        <v>2</v>
      </c>
      <c r="E24" s="3" t="s">
        <v>34</v>
      </c>
      <c r="F24" s="3">
        <v>4930</v>
      </c>
      <c r="G24" s="3">
        <f>F24*D24</f>
        <v>9860</v>
      </c>
      <c r="H24" s="3">
        <v>18</v>
      </c>
      <c r="I24" s="3">
        <f>G24*(1+H24/100)</f>
        <v>11634.8</v>
      </c>
      <c r="J24">
        <f>F15-F24</f>
        <v>-118</v>
      </c>
    </row>
    <row r="25" spans="1:10" x14ac:dyDescent="0.25">
      <c r="A25" s="2" t="s">
        <v>4</v>
      </c>
      <c r="B25" s="2" t="s">
        <v>74</v>
      </c>
      <c r="C25" s="2" t="s">
        <v>77</v>
      </c>
      <c r="D25" s="3">
        <v>2</v>
      </c>
      <c r="E25" s="3" t="s">
        <v>34</v>
      </c>
      <c r="F25" s="3">
        <v>5950</v>
      </c>
      <c r="G25" s="3">
        <f>F25*D25</f>
        <v>11900</v>
      </c>
      <c r="H25" s="3">
        <v>18</v>
      </c>
      <c r="I25" s="3">
        <f>G25*(1+H25/100)</f>
        <v>14042</v>
      </c>
      <c r="J25">
        <f>F14-F25</f>
        <v>39</v>
      </c>
    </row>
    <row r="26" spans="1:10" x14ac:dyDescent="0.25">
      <c r="A26" s="2" t="s">
        <v>4</v>
      </c>
      <c r="B26" s="2" t="s">
        <v>74</v>
      </c>
      <c r="C26" s="2" t="s">
        <v>78</v>
      </c>
      <c r="D26" s="3">
        <v>2</v>
      </c>
      <c r="E26" s="3" t="s">
        <v>34</v>
      </c>
      <c r="F26" s="3">
        <v>1990</v>
      </c>
      <c r="G26" s="3">
        <f>F26*D26</f>
        <v>3980</v>
      </c>
      <c r="H26" s="3">
        <v>18</v>
      </c>
      <c r="I26" s="3">
        <f>G26*(1+H26/100)</f>
        <v>4696.3999999999996</v>
      </c>
      <c r="J26">
        <f>F5-F26</f>
        <v>385</v>
      </c>
    </row>
    <row r="27" spans="1:10" x14ac:dyDescent="0.25">
      <c r="A27" s="2" t="s">
        <v>4</v>
      </c>
      <c r="B27" s="2" t="s">
        <v>74</v>
      </c>
      <c r="C27" s="2" t="s">
        <v>79</v>
      </c>
      <c r="D27" s="3">
        <v>4</v>
      </c>
      <c r="E27" s="3" t="s">
        <v>34</v>
      </c>
      <c r="F27" s="3">
        <v>175</v>
      </c>
      <c r="G27" s="3">
        <f>F27*D27</f>
        <v>700</v>
      </c>
      <c r="H27" s="3">
        <v>18</v>
      </c>
      <c r="I27" s="3">
        <f>G27*(1+H27/100)</f>
        <v>826</v>
      </c>
      <c r="J27">
        <f>F16-F27</f>
        <v>-10</v>
      </c>
    </row>
    <row r="28" spans="1:10" x14ac:dyDescent="0.25">
      <c r="A28" s="2" t="s">
        <v>4</v>
      </c>
      <c r="B28" s="2" t="s">
        <v>74</v>
      </c>
      <c r="C28" s="2" t="s">
        <v>80</v>
      </c>
      <c r="D28" s="3">
        <v>8</v>
      </c>
      <c r="E28" s="3" t="s">
        <v>34</v>
      </c>
      <c r="F28" s="3">
        <v>530</v>
      </c>
      <c r="G28" s="3">
        <f>F28*D28</f>
        <v>4240</v>
      </c>
      <c r="H28" s="3">
        <v>18</v>
      </c>
      <c r="I28" s="3">
        <f>G28*(1+H28/100)</f>
        <v>5003.2</v>
      </c>
      <c r="J28">
        <f>F8-F28</f>
        <v>0</v>
      </c>
    </row>
    <row r="29" spans="1:10" x14ac:dyDescent="0.25">
      <c r="A29" s="2" t="s">
        <v>4</v>
      </c>
      <c r="B29" s="2" t="s">
        <v>74</v>
      </c>
      <c r="C29" s="2" t="s">
        <v>81</v>
      </c>
      <c r="D29" s="3">
        <v>4</v>
      </c>
      <c r="E29" s="3" t="s">
        <v>34</v>
      </c>
      <c r="F29" s="3">
        <v>700</v>
      </c>
      <c r="G29" s="3">
        <f>F29*D29</f>
        <v>2800</v>
      </c>
      <c r="H29" s="3">
        <v>18</v>
      </c>
      <c r="I29" s="3">
        <f>G29*(1+H29/100)</f>
        <v>3304</v>
      </c>
      <c r="J29">
        <f>F9-F29</f>
        <v>130</v>
      </c>
    </row>
    <row r="30" spans="1:10" x14ac:dyDescent="0.25">
      <c r="A30" s="2" t="s">
        <v>4</v>
      </c>
      <c r="B30" s="2" t="s">
        <v>74</v>
      </c>
      <c r="C30" s="2" t="s">
        <v>82</v>
      </c>
      <c r="D30" s="3">
        <v>10</v>
      </c>
      <c r="E30" s="3" t="s">
        <v>29</v>
      </c>
      <c r="F30" s="3">
        <v>60</v>
      </c>
      <c r="G30" s="3">
        <f>F30*D30</f>
        <v>600</v>
      </c>
      <c r="H30" s="3">
        <v>18</v>
      </c>
      <c r="I30" s="3">
        <f>G30*(1+H30/100)</f>
        <v>708</v>
      </c>
      <c r="J30">
        <f>F7-F30</f>
        <v>-2</v>
      </c>
    </row>
    <row r="31" spans="1:10" x14ac:dyDescent="0.25">
      <c r="A31" s="2" t="s">
        <v>4</v>
      </c>
      <c r="B31" s="2" t="s">
        <v>119</v>
      </c>
      <c r="C31" s="2" t="s">
        <v>15</v>
      </c>
      <c r="D31" s="3">
        <v>6</v>
      </c>
      <c r="E31" s="3" t="s">
        <v>16</v>
      </c>
      <c r="F31" s="3">
        <v>1650</v>
      </c>
      <c r="G31" s="3">
        <f>F31*D31</f>
        <v>9900</v>
      </c>
      <c r="H31" s="3">
        <v>5</v>
      </c>
      <c r="I31" s="3">
        <f>G31*(1+H31/100)</f>
        <v>10395</v>
      </c>
      <c r="J31">
        <f>F11-F31</f>
        <v>-242</v>
      </c>
    </row>
    <row r="32" spans="1:10" x14ac:dyDescent="0.25">
      <c r="A32" s="2" t="s">
        <v>4</v>
      </c>
      <c r="B32" s="2" t="s">
        <v>120</v>
      </c>
      <c r="C32" s="2" t="s">
        <v>17</v>
      </c>
      <c r="D32" s="3">
        <v>6</v>
      </c>
      <c r="E32" s="3" t="s">
        <v>16</v>
      </c>
      <c r="F32" s="3">
        <v>1250</v>
      </c>
      <c r="G32" s="3">
        <f>F32*D32</f>
        <v>7500</v>
      </c>
      <c r="H32" s="3">
        <v>5</v>
      </c>
      <c r="I32" s="3">
        <f>G32*(1+H32/100)</f>
        <v>7875</v>
      </c>
      <c r="J32">
        <f>F12-F32</f>
        <v>-242</v>
      </c>
    </row>
    <row r="33" spans="1:10" x14ac:dyDescent="0.25">
      <c r="A33" s="2" t="s">
        <v>4</v>
      </c>
      <c r="B33" s="2" t="s">
        <v>121</v>
      </c>
      <c r="C33" s="2" t="s">
        <v>18</v>
      </c>
      <c r="D33" s="3">
        <v>6</v>
      </c>
      <c r="E33" s="3" t="s">
        <v>16</v>
      </c>
      <c r="F33" s="3">
        <v>680</v>
      </c>
      <c r="G33" s="3">
        <f>F33*D33</f>
        <v>4080</v>
      </c>
      <c r="H33" s="3">
        <v>5</v>
      </c>
      <c r="I33" s="3">
        <f>G33*(1+H33/100)</f>
        <v>4284</v>
      </c>
      <c r="J33">
        <f>F13-F33</f>
        <v>117</v>
      </c>
    </row>
    <row r="34" spans="1:10" x14ac:dyDescent="0.25">
      <c r="A34" s="2" t="s">
        <v>4</v>
      </c>
      <c r="B34" s="2" t="s">
        <v>122</v>
      </c>
      <c r="C34" s="2" t="s">
        <v>27</v>
      </c>
      <c r="D34" s="3">
        <v>1</v>
      </c>
      <c r="E34" s="3" t="s">
        <v>20</v>
      </c>
      <c r="F34" s="3"/>
      <c r="G34" s="3">
        <f>F34*D34</f>
        <v>0</v>
      </c>
      <c r="H34" s="3">
        <v>5</v>
      </c>
      <c r="I34" s="3"/>
    </row>
    <row r="35" spans="1:10" x14ac:dyDescent="0.25">
      <c r="A35" s="2" t="s">
        <v>4</v>
      </c>
      <c r="B35" s="2" t="s">
        <v>123</v>
      </c>
      <c r="C35" s="2" t="s">
        <v>31</v>
      </c>
      <c r="D35" s="3">
        <v>4</v>
      </c>
      <c r="E35" s="3" t="s">
        <v>16</v>
      </c>
      <c r="F35" s="3">
        <v>1150</v>
      </c>
      <c r="G35" s="3">
        <f>F35*D35</f>
        <v>4600</v>
      </c>
      <c r="H35" s="3">
        <v>5</v>
      </c>
      <c r="I35" s="3">
        <f>G35*(1+H35/100)</f>
        <v>4830</v>
      </c>
      <c r="J35">
        <f>F10-F35</f>
        <v>76</v>
      </c>
    </row>
    <row r="36" spans="1:10" x14ac:dyDescent="0.25">
      <c r="A36" s="2"/>
      <c r="B36" s="2"/>
      <c r="C36" s="2"/>
      <c r="D36" s="3"/>
      <c r="E36" s="3"/>
      <c r="F36" s="3"/>
      <c r="G36" s="16" t="s">
        <v>104</v>
      </c>
      <c r="H36" s="17"/>
      <c r="I36" s="7">
        <f>SUM(I23:I35)</f>
        <v>76519.199999999997</v>
      </c>
    </row>
    <row r="37" spans="1:10" x14ac:dyDescent="0.25">
      <c r="A37" s="2"/>
      <c r="B37" s="2"/>
      <c r="C37" s="2"/>
      <c r="D37" s="3"/>
      <c r="E37" s="3"/>
      <c r="F37" s="2"/>
      <c r="G37" s="2"/>
      <c r="H37" s="2"/>
      <c r="I37" s="2"/>
    </row>
    <row r="38" spans="1:10" x14ac:dyDescent="0.25">
      <c r="A38" s="2"/>
      <c r="B38" s="2"/>
      <c r="C38" s="2"/>
      <c r="D38" s="3"/>
      <c r="E38" s="3"/>
      <c r="F38" s="2"/>
      <c r="G38" s="2"/>
      <c r="H38" s="2"/>
      <c r="I38" s="2"/>
    </row>
  </sheetData>
  <autoFilter ref="A3:I3" xr:uid="{CFCE1548-BB33-4093-ADC6-443BEF78F328}"/>
  <mergeCells count="3">
    <mergeCell ref="B2:G2"/>
    <mergeCell ref="B21:G21"/>
    <mergeCell ref="G36:H3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CC1C0-38B1-4DF7-9921-7B598F3EFF02}">
  <dimension ref="A2:I18"/>
  <sheetViews>
    <sheetView topLeftCell="A7" zoomScaleNormal="100" workbookViewId="0">
      <selection activeCell="A22" sqref="A22:I39"/>
    </sheetView>
  </sheetViews>
  <sheetFormatPr defaultRowHeight="15" x14ac:dyDescent="0.25"/>
  <cols>
    <col min="1" max="1" width="27.42578125" bestFit="1" customWidth="1"/>
    <col min="2" max="2" width="12.85546875" bestFit="1" customWidth="1"/>
    <col min="3" max="3" width="37.28515625" bestFit="1" customWidth="1"/>
    <col min="4" max="4" width="8.7109375" bestFit="1" customWidth="1"/>
    <col min="5" max="5" width="9.42578125" bestFit="1" customWidth="1"/>
    <col min="6" max="6" width="13.85546875" bestFit="1" customWidth="1"/>
    <col min="7" max="7" width="11" bestFit="1" customWidth="1"/>
    <col min="8" max="8" width="13.42578125" bestFit="1" customWidth="1"/>
    <col min="9" max="9" width="18.28515625" bestFit="1" customWidth="1"/>
  </cols>
  <sheetData>
    <row r="2" spans="1:9" ht="18.75" x14ac:dyDescent="0.3">
      <c r="B2" s="18" t="s">
        <v>108</v>
      </c>
      <c r="C2" s="18"/>
      <c r="D2" s="18"/>
      <c r="E2" s="18"/>
      <c r="F2" s="18"/>
      <c r="G2" s="18"/>
    </row>
    <row r="3" spans="1:9" x14ac:dyDescent="0.25">
      <c r="A3" s="8" t="s">
        <v>5</v>
      </c>
      <c r="B3" s="8" t="s">
        <v>6</v>
      </c>
      <c r="C3" s="8" t="s">
        <v>7</v>
      </c>
      <c r="D3" s="8" t="s">
        <v>8</v>
      </c>
      <c r="E3" s="8" t="s">
        <v>9</v>
      </c>
      <c r="F3" s="8" t="s">
        <v>10</v>
      </c>
      <c r="G3" s="8" t="s">
        <v>11</v>
      </c>
      <c r="H3" s="8" t="s">
        <v>12</v>
      </c>
      <c r="I3" s="8" t="s">
        <v>13</v>
      </c>
    </row>
    <row r="4" spans="1:9" x14ac:dyDescent="0.25">
      <c r="A4" s="2" t="s">
        <v>3</v>
      </c>
      <c r="B4" s="2" t="s">
        <v>59</v>
      </c>
      <c r="C4" s="2" t="s">
        <v>60</v>
      </c>
      <c r="D4" s="3">
        <v>2</v>
      </c>
      <c r="E4" s="3" t="s">
        <v>45</v>
      </c>
      <c r="F4" s="3">
        <v>3700</v>
      </c>
      <c r="G4" s="3">
        <v>18</v>
      </c>
      <c r="H4" s="3">
        <v>1332</v>
      </c>
      <c r="I4" s="3">
        <v>8732</v>
      </c>
    </row>
    <row r="5" spans="1:9" x14ac:dyDescent="0.25">
      <c r="A5" s="2" t="s">
        <v>3</v>
      </c>
      <c r="B5" s="2" t="s">
        <v>59</v>
      </c>
      <c r="C5" s="2" t="s">
        <v>61</v>
      </c>
      <c r="D5" s="3">
        <v>2</v>
      </c>
      <c r="E5" s="3" t="s">
        <v>45</v>
      </c>
      <c r="F5" s="3">
        <v>2200</v>
      </c>
      <c r="G5" s="3">
        <v>18</v>
      </c>
      <c r="H5" s="3">
        <v>792</v>
      </c>
      <c r="I5" s="3">
        <v>5192</v>
      </c>
    </row>
    <row r="6" spans="1:9" x14ac:dyDescent="0.25">
      <c r="A6" s="2" t="s">
        <v>3</v>
      </c>
      <c r="B6" s="2" t="s">
        <v>59</v>
      </c>
      <c r="C6" s="2" t="s">
        <v>62</v>
      </c>
      <c r="D6" s="3">
        <v>10</v>
      </c>
      <c r="E6" s="3" t="s">
        <v>63</v>
      </c>
      <c r="F6" s="3">
        <v>70</v>
      </c>
      <c r="G6" s="3">
        <v>18</v>
      </c>
      <c r="H6" s="3">
        <v>126</v>
      </c>
      <c r="I6" s="3">
        <v>826</v>
      </c>
    </row>
    <row r="7" spans="1:9" x14ac:dyDescent="0.25">
      <c r="A7" s="2" t="s">
        <v>3</v>
      </c>
      <c r="B7" s="2" t="s">
        <v>59</v>
      </c>
      <c r="C7" s="2" t="s">
        <v>64</v>
      </c>
      <c r="D7" s="3">
        <v>8</v>
      </c>
      <c r="E7" s="3" t="s">
        <v>45</v>
      </c>
      <c r="F7" s="3">
        <v>620</v>
      </c>
      <c r="G7" s="3">
        <v>18</v>
      </c>
      <c r="H7" s="3">
        <v>892.8</v>
      </c>
      <c r="I7" s="3">
        <v>5852.8</v>
      </c>
    </row>
    <row r="8" spans="1:9" x14ac:dyDescent="0.25">
      <c r="A8" s="2" t="s">
        <v>3</v>
      </c>
      <c r="B8" s="2" t="s">
        <v>59</v>
      </c>
      <c r="C8" s="2" t="s">
        <v>65</v>
      </c>
      <c r="D8" s="3">
        <v>4</v>
      </c>
      <c r="E8" s="3" t="s">
        <v>45</v>
      </c>
      <c r="F8" s="3">
        <v>860</v>
      </c>
      <c r="G8" s="3">
        <v>18</v>
      </c>
      <c r="H8" s="3">
        <v>619.20000000000005</v>
      </c>
      <c r="I8" s="3">
        <v>4059.2</v>
      </c>
    </row>
    <row r="9" spans="1:9" x14ac:dyDescent="0.25">
      <c r="A9" s="2" t="s">
        <v>3</v>
      </c>
      <c r="B9" s="2" t="s">
        <v>59</v>
      </c>
      <c r="C9" s="2" t="s">
        <v>66</v>
      </c>
      <c r="D9" s="3">
        <v>4</v>
      </c>
      <c r="E9" s="3" t="s">
        <v>45</v>
      </c>
      <c r="F9" s="3">
        <v>1525</v>
      </c>
      <c r="G9" s="3">
        <v>5</v>
      </c>
      <c r="H9" s="3">
        <v>305</v>
      </c>
      <c r="I9" s="3">
        <v>6405</v>
      </c>
    </row>
    <row r="10" spans="1:9" x14ac:dyDescent="0.25">
      <c r="A10" s="2" t="s">
        <v>3</v>
      </c>
      <c r="B10" s="2" t="s">
        <v>59</v>
      </c>
      <c r="C10" s="2" t="s">
        <v>67</v>
      </c>
      <c r="D10" s="3">
        <v>6</v>
      </c>
      <c r="E10" s="3" t="s">
        <v>45</v>
      </c>
      <c r="F10" s="3">
        <v>1770</v>
      </c>
      <c r="G10" s="3">
        <v>5</v>
      </c>
      <c r="H10" s="3">
        <v>531</v>
      </c>
      <c r="I10" s="3">
        <v>11151</v>
      </c>
    </row>
    <row r="11" spans="1:9" x14ac:dyDescent="0.25">
      <c r="A11" s="2" t="s">
        <v>3</v>
      </c>
      <c r="B11" s="2" t="s">
        <v>59</v>
      </c>
      <c r="C11" s="2" t="s">
        <v>68</v>
      </c>
      <c r="D11" s="3">
        <v>6</v>
      </c>
      <c r="E11" s="3" t="s">
        <v>45</v>
      </c>
      <c r="F11" s="3">
        <v>1230</v>
      </c>
      <c r="G11" s="3">
        <v>5</v>
      </c>
      <c r="H11" s="3">
        <v>369</v>
      </c>
      <c r="I11" s="3">
        <v>7749</v>
      </c>
    </row>
    <row r="12" spans="1:9" x14ac:dyDescent="0.25">
      <c r="A12" s="2" t="s">
        <v>3</v>
      </c>
      <c r="B12" s="2" t="s">
        <v>59</v>
      </c>
      <c r="C12" s="2" t="s">
        <v>69</v>
      </c>
      <c r="D12" s="3">
        <v>6</v>
      </c>
      <c r="E12" s="3" t="s">
        <v>45</v>
      </c>
      <c r="F12" s="3">
        <v>970</v>
      </c>
      <c r="G12" s="3">
        <v>5</v>
      </c>
      <c r="H12" s="3">
        <v>291</v>
      </c>
      <c r="I12" s="3">
        <v>6111</v>
      </c>
    </row>
    <row r="13" spans="1:9" x14ac:dyDescent="0.25">
      <c r="A13" s="2" t="s">
        <v>3</v>
      </c>
      <c r="B13" s="2" t="s">
        <v>59</v>
      </c>
      <c r="C13" s="2" t="s">
        <v>70</v>
      </c>
      <c r="D13" s="3">
        <v>2</v>
      </c>
      <c r="E13" s="3" t="s">
        <v>45</v>
      </c>
      <c r="F13" s="3">
        <v>5900</v>
      </c>
      <c r="G13" s="3">
        <v>18</v>
      </c>
      <c r="H13" s="3">
        <v>2124</v>
      </c>
      <c r="I13" s="3">
        <v>13924</v>
      </c>
    </row>
    <row r="14" spans="1:9" x14ac:dyDescent="0.25">
      <c r="A14" s="2" t="s">
        <v>3</v>
      </c>
      <c r="B14" s="2" t="s">
        <v>59</v>
      </c>
      <c r="C14" s="2" t="s">
        <v>71</v>
      </c>
      <c r="D14" s="3">
        <v>2</v>
      </c>
      <c r="E14" s="3" t="s">
        <v>45</v>
      </c>
      <c r="F14" s="3">
        <v>4700</v>
      </c>
      <c r="G14" s="3">
        <v>18</v>
      </c>
      <c r="H14" s="3">
        <v>1692</v>
      </c>
      <c r="I14" s="3">
        <v>11092</v>
      </c>
    </row>
    <row r="15" spans="1:9" x14ac:dyDescent="0.25">
      <c r="A15" s="2" t="s">
        <v>3</v>
      </c>
      <c r="B15" s="2" t="s">
        <v>59</v>
      </c>
      <c r="C15" s="2" t="s">
        <v>72</v>
      </c>
      <c r="D15" s="3">
        <v>4</v>
      </c>
      <c r="E15" s="3" t="s">
        <v>45</v>
      </c>
      <c r="F15" s="3">
        <v>200</v>
      </c>
      <c r="G15" s="3">
        <v>18</v>
      </c>
      <c r="H15" s="3">
        <v>144</v>
      </c>
      <c r="I15" s="3">
        <v>944</v>
      </c>
    </row>
    <row r="16" spans="1:9" x14ac:dyDescent="0.25">
      <c r="A16" s="2" t="s">
        <v>3</v>
      </c>
      <c r="B16" s="2" t="s">
        <v>59</v>
      </c>
      <c r="C16" s="2" t="s">
        <v>73</v>
      </c>
      <c r="D16" s="3">
        <v>1</v>
      </c>
      <c r="E16" s="3" t="s">
        <v>45</v>
      </c>
      <c r="F16" s="3">
        <v>1020</v>
      </c>
      <c r="G16" s="3">
        <v>18</v>
      </c>
      <c r="H16" s="3">
        <v>183.6</v>
      </c>
      <c r="I16" s="3">
        <v>1203.5999999999999</v>
      </c>
    </row>
    <row r="17" spans="1:9" x14ac:dyDescent="0.25">
      <c r="A17" s="2"/>
      <c r="B17" s="2"/>
      <c r="C17" s="2"/>
      <c r="D17" s="3"/>
      <c r="E17" s="3"/>
      <c r="F17" s="3"/>
      <c r="G17" s="3"/>
      <c r="H17" s="3"/>
      <c r="I17" s="3"/>
    </row>
    <row r="18" spans="1:9" x14ac:dyDescent="0.25">
      <c r="A18" s="2"/>
      <c r="B18" s="2"/>
      <c r="C18" s="2"/>
      <c r="D18" s="3"/>
      <c r="E18" s="3"/>
      <c r="F18" s="3"/>
      <c r="G18" s="3"/>
      <c r="H18" s="3"/>
      <c r="I18" s="13">
        <f>SUM(I4:I16)</f>
        <v>83241.600000000006</v>
      </c>
    </row>
  </sheetData>
  <autoFilter ref="A3:I3" xr:uid="{3CECC1C0-38B1-4DF7-9921-7B598F3EFF02}"/>
  <mergeCells count="1">
    <mergeCell ref="B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E34A5-3F8E-4798-85CF-FE5131384EB6}">
  <dimension ref="A1:I18"/>
  <sheetViews>
    <sheetView workbookViewId="0">
      <selection activeCell="F15" sqref="F15"/>
    </sheetView>
  </sheetViews>
  <sheetFormatPr defaultRowHeight="15" x14ac:dyDescent="0.25"/>
  <cols>
    <col min="1" max="1" width="23.140625" bestFit="1" customWidth="1"/>
    <col min="2" max="2" width="17.28515625" bestFit="1" customWidth="1"/>
    <col min="3" max="3" width="38.28515625" bestFit="1" customWidth="1"/>
    <col min="4" max="4" width="8.7109375" bestFit="1" customWidth="1"/>
    <col min="5" max="5" width="10.42578125" customWidth="1"/>
    <col min="6" max="6" width="12.7109375" customWidth="1"/>
    <col min="7" max="7" width="15.5703125" bestFit="1" customWidth="1"/>
    <col min="8" max="8" width="11.42578125" customWidth="1"/>
    <col min="9" max="9" width="10.140625" bestFit="1" customWidth="1"/>
  </cols>
  <sheetData>
    <row r="1" spans="1:9" ht="18.75" x14ac:dyDescent="0.3">
      <c r="A1" s="18" t="s">
        <v>116</v>
      </c>
      <c r="B1" s="18"/>
      <c r="C1" s="18"/>
      <c r="D1" s="18"/>
      <c r="E1" s="18"/>
      <c r="F1" s="18"/>
    </row>
    <row r="2" spans="1:9" x14ac:dyDescent="0.25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102</v>
      </c>
      <c r="H2" s="4" t="s">
        <v>97</v>
      </c>
      <c r="I2" s="4" t="s">
        <v>103</v>
      </c>
    </row>
    <row r="3" spans="1:9" x14ac:dyDescent="0.25">
      <c r="A3" s="2" t="s">
        <v>83</v>
      </c>
      <c r="B3" s="2" t="s">
        <v>84</v>
      </c>
      <c r="C3" s="2" t="s">
        <v>85</v>
      </c>
      <c r="D3" s="3">
        <v>2</v>
      </c>
      <c r="E3" s="3" t="s">
        <v>20</v>
      </c>
      <c r="F3" s="3">
        <v>4135</v>
      </c>
      <c r="G3" s="3">
        <v>8270</v>
      </c>
      <c r="H3" s="3">
        <v>18</v>
      </c>
      <c r="I3" s="2">
        <f t="shared" ref="I3:I16" si="0">G3*(1+H3/100)</f>
        <v>9758.6</v>
      </c>
    </row>
    <row r="4" spans="1:9" x14ac:dyDescent="0.25">
      <c r="A4" s="2" t="s">
        <v>83</v>
      </c>
      <c r="B4" s="2" t="s">
        <v>84</v>
      </c>
      <c r="C4" s="2" t="s">
        <v>86</v>
      </c>
      <c r="D4" s="3">
        <v>2</v>
      </c>
      <c r="E4" s="3" t="s">
        <v>20</v>
      </c>
      <c r="F4" s="3">
        <v>2450</v>
      </c>
      <c r="G4" s="3">
        <v>4900</v>
      </c>
      <c r="H4" s="3">
        <v>18</v>
      </c>
      <c r="I4" s="2">
        <f t="shared" si="0"/>
        <v>5782</v>
      </c>
    </row>
    <row r="5" spans="1:9" x14ac:dyDescent="0.25">
      <c r="A5" s="2" t="s">
        <v>83</v>
      </c>
      <c r="B5" s="2" t="s">
        <v>84</v>
      </c>
      <c r="C5" s="2" t="s">
        <v>87</v>
      </c>
      <c r="D5" s="3">
        <v>1</v>
      </c>
      <c r="E5" s="3" t="s">
        <v>88</v>
      </c>
      <c r="F5" s="3">
        <v>890</v>
      </c>
      <c r="G5" s="3">
        <v>890</v>
      </c>
      <c r="H5" s="3">
        <v>18</v>
      </c>
      <c r="I5" s="2">
        <f t="shared" si="0"/>
        <v>1050.2</v>
      </c>
    </row>
    <row r="6" spans="1:9" x14ac:dyDescent="0.25">
      <c r="A6" s="2" t="s">
        <v>83</v>
      </c>
      <c r="B6" s="2" t="s">
        <v>84</v>
      </c>
      <c r="C6" s="2" t="s">
        <v>89</v>
      </c>
      <c r="D6" s="3">
        <v>10</v>
      </c>
      <c r="E6" s="3" t="s">
        <v>90</v>
      </c>
      <c r="F6" s="3">
        <v>58</v>
      </c>
      <c r="G6" s="3">
        <v>580</v>
      </c>
      <c r="H6" s="3">
        <v>18</v>
      </c>
      <c r="I6" s="2">
        <f t="shared" si="0"/>
        <v>684.4</v>
      </c>
    </row>
    <row r="7" spans="1:9" x14ac:dyDescent="0.25">
      <c r="A7" s="2" t="s">
        <v>83</v>
      </c>
      <c r="B7" s="2" t="s">
        <v>84</v>
      </c>
      <c r="C7" s="2" t="s">
        <v>91</v>
      </c>
      <c r="D7" s="3">
        <v>4</v>
      </c>
      <c r="E7" s="3" t="s">
        <v>20</v>
      </c>
      <c r="F7" s="3">
        <v>530</v>
      </c>
      <c r="G7" s="3">
        <v>2120</v>
      </c>
      <c r="H7" s="3">
        <v>18</v>
      </c>
      <c r="I7" s="2">
        <f t="shared" si="0"/>
        <v>2501.6</v>
      </c>
    </row>
    <row r="8" spans="1:9" x14ac:dyDescent="0.25">
      <c r="A8" s="2" t="s">
        <v>83</v>
      </c>
      <c r="B8" s="2" t="s">
        <v>84</v>
      </c>
      <c r="C8" s="2" t="s">
        <v>92</v>
      </c>
      <c r="D8" s="3">
        <v>4</v>
      </c>
      <c r="E8" s="3" t="s">
        <v>20</v>
      </c>
      <c r="F8" s="3">
        <v>790</v>
      </c>
      <c r="G8" s="3">
        <v>3160</v>
      </c>
      <c r="H8" s="3">
        <v>18</v>
      </c>
      <c r="I8" s="2">
        <f t="shared" si="0"/>
        <v>3728.7999999999997</v>
      </c>
    </row>
    <row r="9" spans="1:9" x14ac:dyDescent="0.25">
      <c r="A9" s="2" t="s">
        <v>83</v>
      </c>
      <c r="B9" s="2" t="s">
        <v>84</v>
      </c>
      <c r="C9" s="2" t="s">
        <v>98</v>
      </c>
      <c r="D9" s="3">
        <v>4</v>
      </c>
      <c r="E9" s="3" t="s">
        <v>20</v>
      </c>
      <c r="F9" s="3">
        <v>1680</v>
      </c>
      <c r="G9" s="3">
        <v>6720</v>
      </c>
      <c r="H9" s="3">
        <v>5</v>
      </c>
      <c r="I9" s="2">
        <f t="shared" si="0"/>
        <v>7056</v>
      </c>
    </row>
    <row r="10" spans="1:9" x14ac:dyDescent="0.25">
      <c r="A10" s="2" t="s">
        <v>83</v>
      </c>
      <c r="B10" s="2" t="s">
        <v>93</v>
      </c>
      <c r="C10" s="2" t="s">
        <v>99</v>
      </c>
      <c r="D10" s="3">
        <v>6</v>
      </c>
      <c r="E10" s="3" t="s">
        <v>20</v>
      </c>
      <c r="F10" s="3">
        <v>2006</v>
      </c>
      <c r="G10" s="3">
        <v>12036</v>
      </c>
      <c r="H10" s="3">
        <v>5</v>
      </c>
      <c r="I10" s="2">
        <f t="shared" si="0"/>
        <v>12637.800000000001</v>
      </c>
    </row>
    <row r="11" spans="1:9" x14ac:dyDescent="0.25">
      <c r="A11" s="2" t="s">
        <v>83</v>
      </c>
      <c r="B11" s="2" t="s">
        <v>93</v>
      </c>
      <c r="C11" s="2" t="s">
        <v>100</v>
      </c>
      <c r="D11" s="3">
        <v>6</v>
      </c>
      <c r="E11" s="3" t="s">
        <v>20</v>
      </c>
      <c r="F11" s="3">
        <v>1365</v>
      </c>
      <c r="G11" s="3">
        <v>8190</v>
      </c>
      <c r="H11" s="3">
        <v>5</v>
      </c>
      <c r="I11" s="2">
        <f t="shared" si="0"/>
        <v>8599.5</v>
      </c>
    </row>
    <row r="12" spans="1:9" x14ac:dyDescent="0.25">
      <c r="A12" s="2" t="s">
        <v>83</v>
      </c>
      <c r="B12" s="2" t="s">
        <v>93</v>
      </c>
      <c r="C12" s="2" t="s">
        <v>101</v>
      </c>
      <c r="D12" s="3">
        <v>6</v>
      </c>
      <c r="E12" s="3" t="s">
        <v>20</v>
      </c>
      <c r="F12" s="3">
        <v>730</v>
      </c>
      <c r="G12" s="3">
        <v>4380</v>
      </c>
      <c r="H12" s="3">
        <v>5</v>
      </c>
      <c r="I12" s="2">
        <f t="shared" si="0"/>
        <v>4599</v>
      </c>
    </row>
    <row r="13" spans="1:9" x14ac:dyDescent="0.25">
      <c r="A13" s="2" t="s">
        <v>83</v>
      </c>
      <c r="B13" s="2" t="s">
        <v>93</v>
      </c>
      <c r="C13" s="2" t="s">
        <v>94</v>
      </c>
      <c r="D13" s="3">
        <v>2</v>
      </c>
      <c r="E13" s="3" t="s">
        <v>20</v>
      </c>
      <c r="F13" s="3">
        <v>6505</v>
      </c>
      <c r="G13" s="3">
        <v>13010</v>
      </c>
      <c r="H13" s="3">
        <v>18</v>
      </c>
      <c r="I13" s="2">
        <f t="shared" si="0"/>
        <v>15351.8</v>
      </c>
    </row>
    <row r="14" spans="1:9" x14ac:dyDescent="0.25">
      <c r="A14" s="2" t="s">
        <v>83</v>
      </c>
      <c r="B14" s="2" t="s">
        <v>93</v>
      </c>
      <c r="C14" s="2" t="s">
        <v>95</v>
      </c>
      <c r="D14" s="3">
        <v>2</v>
      </c>
      <c r="E14" s="3" t="s">
        <v>20</v>
      </c>
      <c r="F14" s="3">
        <v>5150</v>
      </c>
      <c r="G14" s="3">
        <v>10300</v>
      </c>
      <c r="H14" s="3">
        <v>18</v>
      </c>
      <c r="I14" s="2">
        <f t="shared" si="0"/>
        <v>12154</v>
      </c>
    </row>
    <row r="15" spans="1:9" x14ac:dyDescent="0.25">
      <c r="A15" s="2" t="s">
        <v>83</v>
      </c>
      <c r="B15" s="2" t="s">
        <v>93</v>
      </c>
      <c r="C15" s="2" t="s">
        <v>96</v>
      </c>
      <c r="D15" s="3">
        <v>4</v>
      </c>
      <c r="E15" s="3" t="s">
        <v>20</v>
      </c>
      <c r="F15" s="3">
        <v>195</v>
      </c>
      <c r="G15" s="3">
        <v>780</v>
      </c>
      <c r="H15" s="3">
        <v>18</v>
      </c>
      <c r="I15" s="2">
        <f t="shared" si="0"/>
        <v>920.4</v>
      </c>
    </row>
    <row r="16" spans="1:9" x14ac:dyDescent="0.25">
      <c r="A16" s="2" t="s">
        <v>83</v>
      </c>
      <c r="B16" s="2" t="s">
        <v>93</v>
      </c>
      <c r="C16" s="2" t="s">
        <v>91</v>
      </c>
      <c r="D16" s="3">
        <v>4</v>
      </c>
      <c r="E16" s="3" t="s">
        <v>20</v>
      </c>
      <c r="F16" s="3">
        <v>530</v>
      </c>
      <c r="G16" s="3">
        <v>2120</v>
      </c>
      <c r="H16" s="3">
        <v>18</v>
      </c>
      <c r="I16" s="2">
        <f t="shared" si="0"/>
        <v>2501.6</v>
      </c>
    </row>
    <row r="17" spans="1:9" x14ac:dyDescent="0.25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2"/>
      <c r="B18" s="2"/>
      <c r="C18" s="16" t="s">
        <v>104</v>
      </c>
      <c r="D18" s="17"/>
      <c r="E18" s="2"/>
      <c r="F18" s="5">
        <f>SUM(F3:F16)</f>
        <v>27014</v>
      </c>
      <c r="G18" s="5">
        <f>SUM(G3:G16)</f>
        <v>77456</v>
      </c>
      <c r="H18" s="5"/>
      <c r="I18" s="5">
        <f>SUM(I3:I16)</f>
        <v>87325.7</v>
      </c>
    </row>
  </sheetData>
  <autoFilter ref="A2:I2" xr:uid="{9E7E34A5-3F8E-4798-85CF-FE5131384EB6}"/>
  <mergeCells count="2">
    <mergeCell ref="C18:D18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Alpha Steel Traders</vt:lpstr>
      <vt:lpstr>BALAJI LIFTING EQUIPMENTS CO.</vt:lpstr>
      <vt:lpstr>B. K. HYDRAULICS &amp; LIFTING CORP</vt:lpstr>
      <vt:lpstr>Gopal Lifting Tools</vt:lpstr>
      <vt:lpstr>Ezzy Lifting Tackle Equipment</vt:lpstr>
      <vt:lpstr>Vizag Lifting Equipments1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2026-10-27T10:56:04Z</dcterms:created>
  <dcterms:modified xsi:type="dcterms:W3CDTF">2026-10-28T04:21:57Z</dcterms:modified>
</cp:coreProperties>
</file>