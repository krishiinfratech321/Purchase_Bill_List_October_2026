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A783D3-BDF4-42EC-9B01-EC023D10E419}" xr6:coauthVersionLast="47" xr6:coauthVersionMax="47" xr10:uidLastSave="{00000000-0000-0000-0000-000000000000}"/>
  <bookViews>
    <workbookView xWindow="-120" yWindow="-120" windowWidth="25440" windowHeight="15270" tabRatio="664" xr2:uid="{00000000-000D-0000-FFFF-FFFF00000000}"/>
  </bookViews>
  <sheets>
    <sheet name="Vidyut Enterprise" sheetId="1" r:id="rId1"/>
    <sheet name="Ramdev Electricals " sheetId="5" r:id="rId2"/>
    <sheet name="Industrial Electricals" sheetId="2" r:id="rId3"/>
    <sheet name="Amit Engineers" sheetId="3" r:id="rId4"/>
    <sheet name="Ramdev Electricals" sheetId="4" r:id="rId5"/>
    <sheet name="BISHNOI ENTERPRISES" sheetId="6" r:id="rId6"/>
  </sheets>
  <definedNames>
    <definedName name="_xlnm._FilterDatabase" localSheetId="3" hidden="1">'Amit Engineers'!$A$3:$G$3</definedName>
    <definedName name="_xlnm._FilterDatabase" localSheetId="2" hidden="1">'Industrial Electricals'!$A$3:$H$12</definedName>
    <definedName name="_xlnm._FilterDatabase" localSheetId="1" hidden="1">'Ramdev Electricals '!$A$2:$F$2</definedName>
    <definedName name="_xlnm._FilterDatabase" localSheetId="0" hidden="1">'Vidyut Enterprise'!$A$3:$G$3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G8" i="2"/>
  <c r="G6" i="2"/>
  <c r="G4" i="2"/>
  <c r="F12" i="6"/>
  <c r="F13" i="6" s="1"/>
  <c r="F14" i="6" s="1"/>
  <c r="G8" i="4"/>
  <c r="G7" i="4"/>
  <c r="G6" i="4"/>
  <c r="G5" i="4"/>
  <c r="G9" i="4" s="1"/>
  <c r="G4" i="4"/>
  <c r="G7" i="3"/>
  <c r="G8" i="3" s="1"/>
  <c r="G6" i="3"/>
  <c r="G5" i="3"/>
  <c r="G4" i="3"/>
  <c r="G9" i="2"/>
  <c r="G6" i="1"/>
  <c r="G7" i="1" s="1"/>
  <c r="G5" i="1"/>
  <c r="G4" i="1"/>
  <c r="G8" i="1" l="1"/>
  <c r="G9" i="1" s="1"/>
  <c r="G11" i="4"/>
  <c r="G13" i="4" s="1"/>
  <c r="G10" i="4"/>
  <c r="G11" i="2"/>
  <c r="G12" i="2" s="1"/>
  <c r="G9" i="3"/>
</calcChain>
</file>

<file path=xl/sharedStrings.xml><?xml version="1.0" encoding="utf-8"?>
<sst xmlns="http://schemas.openxmlformats.org/spreadsheetml/2006/main" count="149" uniqueCount="93">
  <si>
    <t>S.No.</t>
  </si>
  <si>
    <t>Description</t>
  </si>
  <si>
    <t>Brand</t>
  </si>
  <si>
    <t>Qty</t>
  </si>
  <si>
    <t>Unit</t>
  </si>
  <si>
    <t>Rate (INR)</t>
  </si>
  <si>
    <t>Amount (INR)</t>
  </si>
  <si>
    <t>2.5 sq.mm × 3 core copper flexible cable</t>
  </si>
  <si>
    <t>Polycab</t>
  </si>
  <si>
    <t>m</t>
  </si>
  <si>
    <t>35 sq.mm copper welding cable</t>
  </si>
  <si>
    <t>Not specified</t>
  </si>
  <si>
    <t>2.5 sq.mm × 2 core copper flexible cable</t>
  </si>
  <si>
    <t>Subtotal</t>
  </si>
  <si>
    <t>GST @ 18%</t>
  </si>
  <si>
    <t>Grand Total (including GST)</t>
  </si>
  <si>
    <t>HSN Code</t>
  </si>
  <si>
    <t>UOM</t>
  </si>
  <si>
    <t>Make</t>
  </si>
  <si>
    <t>2.5SQMMX3C COPPER FLEXIBLE CABLE (PER COIL 100 MTRS)</t>
  </si>
  <si>
    <t>8544</t>
  </si>
  <si>
    <t>MTRS</t>
  </si>
  <si>
    <t>POLYCAB</t>
  </si>
  <si>
    <t>2.5SQMMX2C COPPER FLEXIBLE CABLE(PER COIL 100 MTRS)</t>
  </si>
  <si>
    <t>40A 3POLE MCB</t>
  </si>
  <si>
    <t>8536</t>
  </si>
  <si>
    <t>NOS</t>
  </si>
  <si>
    <t>LEGRAND</t>
  </si>
  <si>
    <t>DIGITAL MULTI METER (DMM63+ )</t>
  </si>
  <si>
    <t>9317</t>
  </si>
  <si>
    <t>MECO</t>
  </si>
  <si>
    <t>Basic Amount</t>
  </si>
  <si>
    <t>Total Amount</t>
  </si>
  <si>
    <t>Sl. No.</t>
  </si>
  <si>
    <t>Rate Per Unit (Rs.)</t>
  </si>
  <si>
    <t>Value (Rs.)</t>
  </si>
  <si>
    <t>"ASSOCIATE" MAKE COPPER WELDING CABLE(HOFR) 35 SQ.MM</t>
  </si>
  <si>
    <t>85446030</t>
  </si>
  <si>
    <t>MTR</t>
  </si>
  <si>
    <t>COPPER CABLE 2.5SQMM X 3CORE BRAND: BINANI CAB</t>
  </si>
  <si>
    <t>85446020</t>
  </si>
  <si>
    <t>COPPER CABLE 2.5SQ.MM X 2CORE BRAND: BINANI CAB</t>
  </si>
  <si>
    <t>85446090</t>
  </si>
  <si>
    <t>Total Value (Excl. GST)</t>
  </si>
  <si>
    <t>Grand Total (Incl. GST)</t>
  </si>
  <si>
    <t>Description of Goods and Services</t>
  </si>
  <si>
    <t>HSN/SAC</t>
  </si>
  <si>
    <t>Quantity</t>
  </si>
  <si>
    <t>2.5SQMM 3CORE COPPER FLEXIBLE CABLE POLYCAB</t>
  </si>
  <si>
    <t>mtrs</t>
  </si>
  <si>
    <t>35SQMM COPPER FLEXIBLE CABLE POLYCAB</t>
  </si>
  <si>
    <t>2.5SQMM 2CORE COPPER FLEXIBLE CABLE POLYCAB</t>
  </si>
  <si>
    <t>MULTI METER</t>
  </si>
  <si>
    <t>85361020</t>
  </si>
  <si>
    <t>LEGRAND DX3 40A 3POLE MCB</t>
  </si>
  <si>
    <t>85362030</t>
  </si>
  <si>
    <t>CGST (9%)</t>
  </si>
  <si>
    <t>SGST (9%)</t>
  </si>
  <si>
    <t>Round Off</t>
  </si>
  <si>
    <t>Total Invoice Value</t>
  </si>
  <si>
    <t>Sub-Total</t>
  </si>
  <si>
    <t>5 NOS</t>
  </si>
  <si>
    <t>1 NOS</t>
  </si>
  <si>
    <t>450 mtrs</t>
  </si>
  <si>
    <t>2.5SQMM 2CORE COPPER FLEXIBLE CABLE</t>
  </si>
  <si>
    <t>120 mtrs</t>
  </si>
  <si>
    <t>35 Sqmm Single Core Copper Flexible Cable</t>
  </si>
  <si>
    <t>210 mtrs</t>
  </si>
  <si>
    <t>2.5SQMM 3CORE COPPER FLEXIBLE CABLE (MAKE - BINANICAB / ISI)</t>
  </si>
  <si>
    <t>Description of Goods</t>
  </si>
  <si>
    <t>Sl No.</t>
  </si>
  <si>
    <t xml:space="preserve">    </t>
  </si>
  <si>
    <t>Amit Engineers , Vizag - Ref: 114/VSR/Q.1000/2026-2027/</t>
  </si>
  <si>
    <t>Grand Total:</t>
  </si>
  <si>
    <t>GST @ 18%:</t>
  </si>
  <si>
    <t>Subtotal:</t>
  </si>
  <si>
    <t>2 Core Cable 2.5</t>
  </si>
  <si>
    <t>35 Sqmm Copper Welding Cable</t>
  </si>
  <si>
    <t>2.5 x 3 Core Cable</t>
  </si>
  <si>
    <t>Particulars</t>
  </si>
  <si>
    <t>0891-6640501 / 81421 11197</t>
  </si>
  <si>
    <t>Contact:</t>
  </si>
  <si>
    <t>37AXZPB6367K1ZM</t>
  </si>
  <si>
    <t>GSTIN:</t>
  </si>
  <si>
    <t>D.No. 28-9-16,17/1, Suryabagh, Visakhapatnam - 530 020</t>
  </si>
  <si>
    <t>Address:</t>
  </si>
  <si>
    <t>Estimation / Quotation</t>
  </si>
  <si>
    <t>RAMDEV ELECTRICAL,VIZAG,CONTACT NO: 9966920816</t>
  </si>
  <si>
    <t>Ramdev Electricals ,Vizag ,CONTACT NO: 9966920816- Quote/26-27/10816</t>
  </si>
  <si>
    <t>Industrial Electricals , Vizag  Contact No:7799964409- Offer No: I &amp;E/Q/26-27/831</t>
  </si>
  <si>
    <t>Vidyut Enterprise Vizag,Contact No : 7675873689- Quotation VE/QTN/2026/1027-01</t>
  </si>
  <si>
    <t>BISHNOI ENTERPRISES, Vizag, Contact No:8142111197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</si>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</sst>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4"/>
      <color rgb="FF1F497D"/>
      <name val="Segoe UI"/>
      <family val="2"/>
    </font>
    <font>
      <b/>
      <sz val="14"/>
      <color rgb="FF1F497D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1B365D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555555"/>
      <name val="Calibri"/>
      <family val="2"/>
    </font>
    <font>
      <b/>
      <sz val="16"/>
      <color rgb="FF1B365D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Segoe U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FFF0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9" fillId="0" borderId="0" xfId="0" applyFont="1"/>
    <xf numFmtId="0" fontId="7" fillId="0" borderId="0" xfId="0" applyFont="1"/>
    <xf numFmtId="0" fontId="11" fillId="0" borderId="0" xfId="0" applyFont="1"/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13" fillId="0" borderId="0" xfId="0" applyFont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20" sqref="D20"/>
    </sheetView>
  </sheetViews>
  <sheetFormatPr defaultRowHeight="15" x14ac:dyDescent="0.25"/>
  <cols>
    <col min="1" max="1" width="12" customWidth="1"/>
    <col min="2" max="2" width="43" customWidth="1"/>
    <col min="3" max="3" width="16" customWidth="1"/>
    <col min="4" max="5" width="12" customWidth="1"/>
    <col min="6" max="6" width="29.7109375" bestFit="1" customWidth="1"/>
    <col min="7" max="7" width="19.42578125" customWidth="1"/>
  </cols>
  <sheetData>
    <row r="1" spans="1:7" ht="24.95" customHeight="1" x14ac:dyDescent="0.35">
      <c r="A1" s="29" t="s">
        <v>90</v>
      </c>
      <c r="B1" s="29"/>
      <c r="C1" s="29"/>
      <c r="D1" s="29"/>
      <c r="E1" s="29"/>
      <c r="F1" s="29"/>
      <c r="G1" s="29"/>
    </row>
    <row r="3" spans="1:7" ht="24" customHeight="1" x14ac:dyDescent="0.25">
      <c r="A3" s="1" t="s">
        <v>0</v>
      </c>
      <c r="B3" s="2" t="s">
        <v>1</v>
      </c>
      <c r="C3" s="2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6.5" x14ac:dyDescent="0.25">
      <c r="A4" s="3">
        <v>1</v>
      </c>
      <c r="B4" s="4" t="s">
        <v>7</v>
      </c>
      <c r="C4" s="4" t="s">
        <v>8</v>
      </c>
      <c r="D4" s="3">
        <v>210</v>
      </c>
      <c r="E4" s="3" t="s">
        <v>9</v>
      </c>
      <c r="F4" s="10">
        <v>140</v>
      </c>
      <c r="G4" s="10">
        <f>D4*F4</f>
        <v>29400</v>
      </c>
    </row>
    <row r="5" spans="1:7" ht="16.5" x14ac:dyDescent="0.25">
      <c r="A5" s="3">
        <v>2</v>
      </c>
      <c r="B5" s="4" t="s">
        <v>10</v>
      </c>
      <c r="C5" s="4" t="s">
        <v>11</v>
      </c>
      <c r="D5" s="3">
        <v>120</v>
      </c>
      <c r="E5" s="3" t="s">
        <v>9</v>
      </c>
      <c r="F5" s="10">
        <v>302</v>
      </c>
      <c r="G5" s="10">
        <f>D5*F5</f>
        <v>36240</v>
      </c>
    </row>
    <row r="6" spans="1:7" ht="16.5" x14ac:dyDescent="0.25">
      <c r="A6" s="3">
        <v>3</v>
      </c>
      <c r="B6" s="4" t="s">
        <v>12</v>
      </c>
      <c r="C6" s="4" t="s">
        <v>8</v>
      </c>
      <c r="D6" s="3">
        <v>450</v>
      </c>
      <c r="E6" s="3" t="s">
        <v>9</v>
      </c>
      <c r="F6" s="10">
        <v>100</v>
      </c>
      <c r="G6" s="10">
        <f>D6*F6</f>
        <v>45000</v>
      </c>
    </row>
    <row r="7" spans="1:7" ht="16.5" x14ac:dyDescent="0.25">
      <c r="A7" s="5"/>
      <c r="B7" s="5"/>
      <c r="C7" s="13"/>
      <c r="D7" s="13"/>
      <c r="E7" s="13"/>
      <c r="F7" s="14" t="s">
        <v>13</v>
      </c>
      <c r="G7" s="8">
        <f>SUM(G4:G6)</f>
        <v>110640</v>
      </c>
    </row>
    <row r="8" spans="1:7" ht="16.5" x14ac:dyDescent="0.25">
      <c r="A8" s="5"/>
      <c r="B8" s="5"/>
      <c r="C8" s="13"/>
      <c r="D8" s="13"/>
      <c r="E8" s="13"/>
      <c r="F8" s="3" t="s">
        <v>14</v>
      </c>
      <c r="G8" s="10">
        <f>G7*0.18</f>
        <v>19915.2</v>
      </c>
    </row>
    <row r="9" spans="1:7" ht="16.5" x14ac:dyDescent="0.25">
      <c r="A9" s="5"/>
      <c r="B9" s="5"/>
      <c r="C9" s="13"/>
      <c r="D9" s="13"/>
      <c r="E9" s="13"/>
      <c r="F9" s="14" t="s">
        <v>15</v>
      </c>
      <c r="G9" s="11">
        <f>G7+G8</f>
        <v>130555.2</v>
      </c>
    </row>
    <row r="10" spans="1:7" x14ac:dyDescent="0.25">
      <c r="A10" s="5"/>
      <c r="B10" s="5"/>
      <c r="C10" s="5"/>
      <c r="D10" s="5"/>
      <c r="E10" s="5"/>
      <c r="F10" s="5"/>
      <c r="G10" s="5"/>
    </row>
  </sheetData>
  <autoFilter ref="A3:G3" xr:uid="{00000000-0001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B05D-F17F-47EB-889C-003FA29F3B31}">
  <dimension ref="A1:G15"/>
  <sheetViews>
    <sheetView workbookViewId="0">
      <selection activeCell="C13" sqref="C13"/>
    </sheetView>
  </sheetViews>
  <sheetFormatPr defaultRowHeight="15" x14ac:dyDescent="0.25"/>
  <cols>
    <col min="2" max="2" width="61" bestFit="1" customWidth="1"/>
    <col min="3" max="3" width="13.5703125" bestFit="1" customWidth="1"/>
    <col min="4" max="4" width="13.42578125" customWidth="1"/>
    <col min="5" max="5" width="23.140625" bestFit="1" customWidth="1"/>
    <col min="6" max="6" width="21.140625" customWidth="1"/>
  </cols>
  <sheetData>
    <row r="1" spans="1:7" ht="23.25" x14ac:dyDescent="0.35">
      <c r="A1" s="28"/>
      <c r="B1" s="35" t="s">
        <v>87</v>
      </c>
      <c r="C1" s="35"/>
      <c r="D1" s="35"/>
      <c r="E1" s="35"/>
    </row>
    <row r="2" spans="1:7" x14ac:dyDescent="0.25">
      <c r="A2" s="16" t="s">
        <v>70</v>
      </c>
      <c r="B2" s="16" t="s">
        <v>69</v>
      </c>
      <c r="C2" s="16" t="s">
        <v>46</v>
      </c>
      <c r="D2" s="16" t="s">
        <v>47</v>
      </c>
      <c r="E2" s="16" t="s">
        <v>5</v>
      </c>
      <c r="F2" s="16" t="s">
        <v>6</v>
      </c>
    </row>
    <row r="3" spans="1:7" x14ac:dyDescent="0.25">
      <c r="A3" s="5">
        <v>1</v>
      </c>
      <c r="B3" s="5" t="s">
        <v>68</v>
      </c>
      <c r="C3" s="7" t="s">
        <v>42</v>
      </c>
      <c r="D3" s="7" t="s">
        <v>67</v>
      </c>
      <c r="E3" s="7">
        <v>100.08</v>
      </c>
      <c r="F3" s="7">
        <v>21016</v>
      </c>
    </row>
    <row r="4" spans="1:7" x14ac:dyDescent="0.25">
      <c r="A4" s="5">
        <v>2</v>
      </c>
      <c r="B4" s="5" t="s">
        <v>66</v>
      </c>
      <c r="C4" s="7" t="s">
        <v>42</v>
      </c>
      <c r="D4" s="7" t="s">
        <v>65</v>
      </c>
      <c r="E4" s="7">
        <v>482.98</v>
      </c>
      <c r="F4" s="7">
        <v>57957</v>
      </c>
    </row>
    <row r="5" spans="1:7" x14ac:dyDescent="0.25">
      <c r="A5" s="5">
        <v>3</v>
      </c>
      <c r="B5" s="5" t="s">
        <v>64</v>
      </c>
      <c r="C5" s="7" t="s">
        <v>42</v>
      </c>
      <c r="D5" s="7" t="s">
        <v>63</v>
      </c>
      <c r="E5" s="7">
        <v>70.13</v>
      </c>
      <c r="F5" s="7">
        <v>31558</v>
      </c>
    </row>
    <row r="6" spans="1:7" x14ac:dyDescent="0.25">
      <c r="A6" s="5">
        <v>4</v>
      </c>
      <c r="B6" s="5" t="s">
        <v>52</v>
      </c>
      <c r="C6" s="7" t="s">
        <v>53</v>
      </c>
      <c r="D6" s="7" t="s">
        <v>62</v>
      </c>
      <c r="E6" s="7">
        <v>1550</v>
      </c>
      <c r="F6" s="7">
        <v>1550</v>
      </c>
    </row>
    <row r="7" spans="1:7" x14ac:dyDescent="0.25">
      <c r="A7" s="5">
        <v>5</v>
      </c>
      <c r="B7" s="5" t="s">
        <v>54</v>
      </c>
      <c r="C7" s="7" t="s">
        <v>55</v>
      </c>
      <c r="D7" s="7" t="s">
        <v>61</v>
      </c>
      <c r="E7" s="7">
        <v>1499.6</v>
      </c>
      <c r="F7" s="7">
        <v>7498</v>
      </c>
    </row>
    <row r="8" spans="1:7" x14ac:dyDescent="0.25">
      <c r="A8" s="5"/>
      <c r="B8" s="5"/>
      <c r="C8" s="15"/>
      <c r="D8" s="15"/>
      <c r="E8" s="15" t="s">
        <v>60</v>
      </c>
      <c r="F8" s="15">
        <v>119579</v>
      </c>
    </row>
    <row r="9" spans="1:7" x14ac:dyDescent="0.25">
      <c r="A9" s="5"/>
      <c r="B9" s="5"/>
      <c r="C9" s="15"/>
      <c r="D9" s="15"/>
      <c r="E9" s="15" t="s">
        <v>56</v>
      </c>
      <c r="F9" s="15">
        <v>10762.11</v>
      </c>
    </row>
    <row r="10" spans="1:7" x14ac:dyDescent="0.25">
      <c r="A10" s="5"/>
      <c r="B10" s="5"/>
      <c r="C10" s="15"/>
      <c r="D10" s="15"/>
      <c r="E10" s="15" t="s">
        <v>57</v>
      </c>
      <c r="F10" s="15">
        <v>10762.11</v>
      </c>
    </row>
    <row r="11" spans="1:7" x14ac:dyDescent="0.25">
      <c r="A11" s="5"/>
      <c r="B11" s="5"/>
      <c r="C11" s="15"/>
      <c r="D11" s="15"/>
      <c r="E11" s="15" t="s">
        <v>58</v>
      </c>
      <c r="F11" s="15">
        <v>-0.22</v>
      </c>
    </row>
    <row r="12" spans="1:7" ht="18.75" x14ac:dyDescent="0.25">
      <c r="A12" s="5"/>
      <c r="B12" s="5"/>
      <c r="C12" s="15"/>
      <c r="D12" s="15"/>
      <c r="E12" s="34" t="s">
        <v>59</v>
      </c>
      <c r="F12" s="34">
        <v>141103</v>
      </c>
    </row>
    <row r="15" spans="1:7" x14ac:dyDescent="0.25">
      <c r="G15" t="s">
        <v>71</v>
      </c>
    </row>
  </sheetData>
  <autoFilter ref="A2:F2" xr:uid="{7A4EB05D-F17F-47EB-889C-003FA29F3B31}"/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B34" sqref="B34"/>
    </sheetView>
  </sheetViews>
  <sheetFormatPr defaultRowHeight="15" x14ac:dyDescent="0.25"/>
  <cols>
    <col min="1" max="1" width="12" customWidth="1"/>
    <col min="2" max="2" width="55" customWidth="1"/>
    <col min="3" max="3" width="15.85546875" bestFit="1" customWidth="1"/>
    <col min="4" max="5" width="12" customWidth="1"/>
    <col min="6" max="6" width="19.7109375" customWidth="1"/>
    <col min="7" max="7" width="23.85546875" customWidth="1"/>
    <col min="8" max="8" width="13.85546875" customWidth="1"/>
  </cols>
  <sheetData>
    <row r="1" spans="1:8" ht="24.95" customHeight="1" x14ac:dyDescent="0.35">
      <c r="A1" s="29" t="s">
        <v>89</v>
      </c>
      <c r="B1" s="29"/>
      <c r="C1" s="29"/>
      <c r="D1" s="29"/>
      <c r="E1" s="29"/>
      <c r="F1" s="29"/>
      <c r="G1" s="29"/>
    </row>
    <row r="3" spans="1:8" ht="24" customHeight="1" x14ac:dyDescent="0.25">
      <c r="A3" s="1" t="s">
        <v>0</v>
      </c>
      <c r="B3" s="2" t="s">
        <v>1</v>
      </c>
      <c r="C3" s="1" t="s">
        <v>16</v>
      </c>
      <c r="D3" s="1" t="s">
        <v>3</v>
      </c>
      <c r="E3" s="1" t="s">
        <v>17</v>
      </c>
      <c r="F3" s="1" t="s">
        <v>5</v>
      </c>
      <c r="G3" s="1" t="s">
        <v>6</v>
      </c>
      <c r="H3" s="1" t="s">
        <v>18</v>
      </c>
    </row>
    <row r="4" spans="1:8" ht="16.5" x14ac:dyDescent="0.25">
      <c r="A4" s="3">
        <v>1</v>
      </c>
      <c r="B4" s="4" t="s">
        <v>19</v>
      </c>
      <c r="C4" s="3" t="s">
        <v>20</v>
      </c>
      <c r="D4" s="3">
        <v>200</v>
      </c>
      <c r="E4" s="3" t="s">
        <v>21</v>
      </c>
      <c r="F4" s="10">
        <v>130.815</v>
      </c>
      <c r="G4" s="10">
        <f>D4*F4</f>
        <v>26163</v>
      </c>
      <c r="H4" s="3" t="s">
        <v>22</v>
      </c>
    </row>
    <row r="5" spans="1:8" ht="16.5" x14ac:dyDescent="0.25">
      <c r="A5" s="3">
        <v>2</v>
      </c>
      <c r="B5" s="32" t="s">
        <v>66</v>
      </c>
      <c r="C5" s="33" t="s">
        <v>92</v>
      </c>
      <c r="D5" s="3"/>
      <c r="E5" s="3"/>
      <c r="F5" s="10"/>
      <c r="G5" s="10"/>
      <c r="H5" s="3"/>
    </row>
    <row r="6" spans="1:8" ht="16.5" x14ac:dyDescent="0.25">
      <c r="A6" s="3">
        <v>3</v>
      </c>
      <c r="B6" s="4" t="s">
        <v>23</v>
      </c>
      <c r="C6" s="3" t="s">
        <v>20</v>
      </c>
      <c r="D6" s="3">
        <v>400</v>
      </c>
      <c r="E6" s="3" t="s">
        <v>21</v>
      </c>
      <c r="F6" s="10">
        <v>91.53</v>
      </c>
      <c r="G6" s="10">
        <f>D6*F6</f>
        <v>36612</v>
      </c>
      <c r="H6" s="3" t="s">
        <v>22</v>
      </c>
    </row>
    <row r="7" spans="1:8" ht="16.5" x14ac:dyDescent="0.25">
      <c r="A7" s="3">
        <v>4</v>
      </c>
      <c r="B7" s="4"/>
      <c r="C7" s="3"/>
      <c r="D7" s="3"/>
      <c r="E7" s="3"/>
      <c r="F7" s="10"/>
      <c r="G7" s="10"/>
      <c r="H7" s="3"/>
    </row>
    <row r="8" spans="1:8" ht="16.5" x14ac:dyDescent="0.25">
      <c r="A8" s="3">
        <v>5</v>
      </c>
      <c r="B8" s="4" t="s">
        <v>24</v>
      </c>
      <c r="C8" s="3" t="s">
        <v>25</v>
      </c>
      <c r="D8" s="3">
        <v>5</v>
      </c>
      <c r="E8" s="3" t="s">
        <v>26</v>
      </c>
      <c r="F8" s="10">
        <v>1625</v>
      </c>
      <c r="G8" s="10">
        <f>D8*F8</f>
        <v>8125</v>
      </c>
      <c r="H8" s="3" t="s">
        <v>27</v>
      </c>
    </row>
    <row r="9" spans="1:8" ht="16.5" x14ac:dyDescent="0.25">
      <c r="A9" s="3">
        <v>6</v>
      </c>
      <c r="B9" s="4" t="s">
        <v>28</v>
      </c>
      <c r="C9" s="3" t="s">
        <v>29</v>
      </c>
      <c r="D9" s="3">
        <v>1</v>
      </c>
      <c r="E9" s="3" t="s">
        <v>26</v>
      </c>
      <c r="F9" s="10">
        <v>1050</v>
      </c>
      <c r="G9" s="10">
        <f t="shared" ref="G9" si="0">D9*F9</f>
        <v>1050</v>
      </c>
      <c r="H9" s="3" t="s">
        <v>30</v>
      </c>
    </row>
    <row r="10" spans="1:8" ht="16.5" x14ac:dyDescent="0.3">
      <c r="A10" s="5"/>
      <c r="B10" s="5"/>
      <c r="C10" s="7"/>
      <c r="D10" s="7"/>
      <c r="E10" s="7"/>
      <c r="F10" s="6" t="s">
        <v>31</v>
      </c>
      <c r="G10" s="8">
        <f>SUM(G4:G9)</f>
        <v>71950</v>
      </c>
      <c r="H10" s="7"/>
    </row>
    <row r="11" spans="1:8" ht="16.5" x14ac:dyDescent="0.3">
      <c r="A11" s="5"/>
      <c r="B11" s="5"/>
      <c r="C11" s="7"/>
      <c r="D11" s="7"/>
      <c r="E11" s="7"/>
      <c r="F11" s="9" t="s">
        <v>14</v>
      </c>
      <c r="G11" s="10">
        <f>G10*0.18</f>
        <v>12951</v>
      </c>
      <c r="H11" s="7"/>
    </row>
    <row r="12" spans="1:8" ht="16.5" x14ac:dyDescent="0.3">
      <c r="A12" s="5"/>
      <c r="B12" s="5"/>
      <c r="C12" s="7"/>
      <c r="D12" s="7"/>
      <c r="E12" s="7"/>
      <c r="F12" s="6" t="s">
        <v>32</v>
      </c>
      <c r="G12" s="11">
        <f>G10+G11</f>
        <v>84901</v>
      </c>
      <c r="H12" s="7"/>
    </row>
    <row r="13" spans="1:8" x14ac:dyDescent="0.25">
      <c r="A13" s="5"/>
      <c r="B13" s="5"/>
      <c r="C13" s="7"/>
      <c r="D13" s="7"/>
      <c r="E13" s="7"/>
      <c r="F13" s="7"/>
      <c r="G13" s="7"/>
      <c r="H13" s="7"/>
    </row>
    <row r="14" spans="1:8" x14ac:dyDescent="0.25">
      <c r="A14" s="5"/>
      <c r="B14" s="5"/>
      <c r="C14" s="5"/>
      <c r="D14" s="5"/>
      <c r="E14" s="5"/>
      <c r="F14" s="7"/>
      <c r="G14" s="7"/>
      <c r="H14" s="7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H19" sqref="H19"/>
    </sheetView>
  </sheetViews>
  <sheetFormatPr defaultRowHeight="15" x14ac:dyDescent="0.25"/>
  <cols>
    <col min="1" max="1" width="12" customWidth="1"/>
    <col min="2" max="2" width="69.42578125" customWidth="1"/>
    <col min="3" max="5" width="12" customWidth="1"/>
    <col min="6" max="6" width="32.28515625" customWidth="1"/>
    <col min="7" max="7" width="15" customWidth="1"/>
  </cols>
  <sheetData>
    <row r="1" spans="1:7" ht="24.95" customHeight="1" x14ac:dyDescent="0.35">
      <c r="A1" s="30" t="s">
        <v>72</v>
      </c>
      <c r="B1" s="29"/>
      <c r="C1" s="29"/>
    </row>
    <row r="3" spans="1:7" ht="24" customHeight="1" x14ac:dyDescent="0.25">
      <c r="A3" s="1" t="s">
        <v>33</v>
      </c>
      <c r="B3" s="2" t="s">
        <v>1</v>
      </c>
      <c r="C3" s="1" t="s">
        <v>16</v>
      </c>
      <c r="D3" s="1" t="s">
        <v>4</v>
      </c>
      <c r="E3" s="1" t="s">
        <v>3</v>
      </c>
      <c r="F3" s="1" t="s">
        <v>34</v>
      </c>
      <c r="G3" s="1" t="s">
        <v>35</v>
      </c>
    </row>
    <row r="4" spans="1:7" ht="16.5" x14ac:dyDescent="0.25">
      <c r="A4" s="3">
        <v>1</v>
      </c>
      <c r="B4" s="4" t="s">
        <v>36</v>
      </c>
      <c r="C4" s="3" t="s">
        <v>37</v>
      </c>
      <c r="D4" s="3" t="s">
        <v>38</v>
      </c>
      <c r="E4" s="3">
        <v>120</v>
      </c>
      <c r="F4" s="10">
        <v>702</v>
      </c>
      <c r="G4" s="10">
        <f>E4*F4</f>
        <v>84240</v>
      </c>
    </row>
    <row r="5" spans="1:7" ht="16.5" x14ac:dyDescent="0.25">
      <c r="A5" s="3">
        <v>2</v>
      </c>
      <c r="B5" s="4" t="s">
        <v>39</v>
      </c>
      <c r="C5" s="3" t="s">
        <v>40</v>
      </c>
      <c r="D5" s="3" t="s">
        <v>38</v>
      </c>
      <c r="E5" s="3">
        <v>210</v>
      </c>
      <c r="F5" s="10">
        <v>91</v>
      </c>
      <c r="G5" s="10">
        <f>E5*F5</f>
        <v>19110</v>
      </c>
    </row>
    <row r="6" spans="1:7" ht="16.5" x14ac:dyDescent="0.25">
      <c r="A6" s="3">
        <v>3</v>
      </c>
      <c r="B6" s="4" t="s">
        <v>41</v>
      </c>
      <c r="C6" s="3" t="s">
        <v>42</v>
      </c>
      <c r="D6" s="3" t="s">
        <v>38</v>
      </c>
      <c r="E6" s="3">
        <v>450</v>
      </c>
      <c r="F6" s="10">
        <v>64</v>
      </c>
      <c r="G6" s="10">
        <f>E6*F6</f>
        <v>28800</v>
      </c>
    </row>
    <row r="7" spans="1:7" ht="16.5" x14ac:dyDescent="0.3">
      <c r="A7" s="5"/>
      <c r="C7" s="5"/>
      <c r="D7" s="5"/>
      <c r="E7" s="5"/>
      <c r="F7" s="6" t="s">
        <v>43</v>
      </c>
      <c r="G7" s="8">
        <f>SUM(G4:G6)</f>
        <v>132150</v>
      </c>
    </row>
    <row r="8" spans="1:7" ht="16.5" x14ac:dyDescent="0.3">
      <c r="A8" s="5"/>
      <c r="C8" s="5"/>
      <c r="D8" s="5"/>
      <c r="E8" s="5"/>
      <c r="F8" s="9" t="s">
        <v>14</v>
      </c>
      <c r="G8" s="10">
        <f>G7*0.18</f>
        <v>23787</v>
      </c>
    </row>
    <row r="9" spans="1:7" ht="16.5" x14ac:dyDescent="0.3">
      <c r="A9" s="5"/>
      <c r="C9" s="5"/>
      <c r="D9" s="5"/>
      <c r="E9" s="5"/>
      <c r="F9" s="6" t="s">
        <v>44</v>
      </c>
      <c r="G9" s="11">
        <f>G7+G8</f>
        <v>155937</v>
      </c>
    </row>
    <row r="10" spans="1:7" x14ac:dyDescent="0.25">
      <c r="A10" s="5"/>
      <c r="B10" s="5"/>
      <c r="C10" s="5"/>
      <c r="D10" s="5"/>
      <c r="E10" s="5"/>
      <c r="F10" s="5"/>
      <c r="G10" s="5"/>
    </row>
  </sheetData>
  <autoFilter ref="A3:G3" xr:uid="{00000000-0001-0000-0200-000000000000}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D22" sqref="D22"/>
    </sheetView>
  </sheetViews>
  <sheetFormatPr defaultRowHeight="15" x14ac:dyDescent="0.25"/>
  <cols>
    <col min="1" max="1" width="12" customWidth="1"/>
    <col min="2" max="2" width="51.140625" customWidth="1"/>
    <col min="3" max="5" width="12" customWidth="1"/>
    <col min="6" max="6" width="20.5703125" bestFit="1" customWidth="1"/>
    <col min="7" max="7" width="18" customWidth="1"/>
  </cols>
  <sheetData>
    <row r="1" spans="1:7" ht="24.95" customHeight="1" x14ac:dyDescent="0.35">
      <c r="A1" s="29" t="s">
        <v>88</v>
      </c>
      <c r="B1" s="30"/>
      <c r="C1" s="30"/>
      <c r="D1" s="30"/>
      <c r="E1" s="30"/>
    </row>
    <row r="3" spans="1:7" ht="24" customHeight="1" x14ac:dyDescent="0.25">
      <c r="A3" s="2" t="s">
        <v>33</v>
      </c>
      <c r="B3" s="2" t="s">
        <v>45</v>
      </c>
      <c r="C3" s="2" t="s">
        <v>46</v>
      </c>
      <c r="D3" s="2" t="s">
        <v>47</v>
      </c>
      <c r="E3" s="2" t="s">
        <v>4</v>
      </c>
      <c r="F3" s="2" t="s">
        <v>5</v>
      </c>
      <c r="G3" s="2" t="s">
        <v>6</v>
      </c>
    </row>
    <row r="4" spans="1:7" ht="16.5" x14ac:dyDescent="0.25">
      <c r="A4" s="4">
        <v>1</v>
      </c>
      <c r="B4" s="4" t="s">
        <v>48</v>
      </c>
      <c r="C4" s="3" t="s">
        <v>42</v>
      </c>
      <c r="D4" s="3">
        <v>210</v>
      </c>
      <c r="E4" s="3" t="s">
        <v>49</v>
      </c>
      <c r="F4" s="10">
        <v>132.43</v>
      </c>
      <c r="G4" s="10">
        <f>D4*F4</f>
        <v>27810.300000000003</v>
      </c>
    </row>
    <row r="5" spans="1:7" ht="16.5" x14ac:dyDescent="0.25">
      <c r="A5" s="4">
        <v>2</v>
      </c>
      <c r="B5" s="4" t="s">
        <v>50</v>
      </c>
      <c r="C5" s="3" t="s">
        <v>42</v>
      </c>
      <c r="D5" s="3">
        <v>120</v>
      </c>
      <c r="E5" s="3" t="s">
        <v>49</v>
      </c>
      <c r="F5" s="10">
        <v>571.95000000000005</v>
      </c>
      <c r="G5" s="10">
        <f>D5*F5</f>
        <v>68634</v>
      </c>
    </row>
    <row r="6" spans="1:7" ht="16.5" x14ac:dyDescent="0.25">
      <c r="A6" s="4">
        <v>3</v>
      </c>
      <c r="B6" s="4" t="s">
        <v>51</v>
      </c>
      <c r="C6" s="3" t="s">
        <v>42</v>
      </c>
      <c r="D6" s="3">
        <v>450</v>
      </c>
      <c r="E6" s="3" t="s">
        <v>49</v>
      </c>
      <c r="F6" s="10">
        <v>92.66</v>
      </c>
      <c r="G6" s="10">
        <f>D6*F6</f>
        <v>41697</v>
      </c>
    </row>
    <row r="7" spans="1:7" ht="16.5" x14ac:dyDescent="0.25">
      <c r="A7" s="4">
        <v>4</v>
      </c>
      <c r="B7" s="4" t="s">
        <v>52</v>
      </c>
      <c r="C7" s="3" t="s">
        <v>53</v>
      </c>
      <c r="D7" s="3">
        <v>1</v>
      </c>
      <c r="E7" s="3" t="s">
        <v>26</v>
      </c>
      <c r="F7" s="10">
        <v>1550</v>
      </c>
      <c r="G7" s="10">
        <f>D7*F7</f>
        <v>1550</v>
      </c>
    </row>
    <row r="8" spans="1:7" ht="16.5" x14ac:dyDescent="0.25">
      <c r="A8" s="4">
        <v>5</v>
      </c>
      <c r="B8" s="4" t="s">
        <v>54</v>
      </c>
      <c r="C8" s="3" t="s">
        <v>55</v>
      </c>
      <c r="D8" s="3">
        <v>5</v>
      </c>
      <c r="E8" s="3" t="s">
        <v>26</v>
      </c>
      <c r="F8" s="10">
        <v>1499.6</v>
      </c>
      <c r="G8" s="10">
        <f>D8*F8</f>
        <v>7498</v>
      </c>
    </row>
    <row r="9" spans="1:7" ht="16.5" x14ac:dyDescent="0.25">
      <c r="A9" s="12"/>
      <c r="B9" s="5"/>
      <c r="C9" s="13"/>
      <c r="D9" s="13"/>
      <c r="E9" s="13"/>
      <c r="F9" s="14" t="s">
        <v>13</v>
      </c>
      <c r="G9" s="8">
        <f>SUM(G4:G8)</f>
        <v>147189.29999999999</v>
      </c>
    </row>
    <row r="10" spans="1:7" ht="16.5" x14ac:dyDescent="0.25">
      <c r="A10" s="12"/>
      <c r="B10" s="5"/>
      <c r="C10" s="13"/>
      <c r="D10" s="13"/>
      <c r="E10" s="13"/>
      <c r="F10" s="3" t="s">
        <v>56</v>
      </c>
      <c r="G10" s="10">
        <f>G9*0.09</f>
        <v>13247.036999999998</v>
      </c>
    </row>
    <row r="11" spans="1:7" ht="16.5" x14ac:dyDescent="0.25">
      <c r="A11" s="12"/>
      <c r="B11" s="5"/>
      <c r="C11" s="13"/>
      <c r="D11" s="13"/>
      <c r="E11" s="13"/>
      <c r="F11" s="3" t="s">
        <v>57</v>
      </c>
      <c r="G11" s="10">
        <f>G9*0.09</f>
        <v>13247.036999999998</v>
      </c>
    </row>
    <row r="12" spans="1:7" ht="16.5" x14ac:dyDescent="0.25">
      <c r="A12" s="12"/>
      <c r="B12" s="5"/>
      <c r="C12" s="13"/>
      <c r="D12" s="13"/>
      <c r="E12" s="13"/>
      <c r="F12" s="3" t="s">
        <v>58</v>
      </c>
      <c r="G12" s="10">
        <v>-0.02</v>
      </c>
    </row>
    <row r="13" spans="1:7" ht="16.5" x14ac:dyDescent="0.25">
      <c r="A13" s="12"/>
      <c r="B13" s="5"/>
      <c r="C13" s="13"/>
      <c r="D13" s="13"/>
      <c r="E13" s="13"/>
      <c r="F13" s="14" t="s">
        <v>59</v>
      </c>
      <c r="G13" s="11">
        <f>G9+G10+G11+G12</f>
        <v>173683.35400000002</v>
      </c>
    </row>
    <row r="14" spans="1:7" x14ac:dyDescent="0.25">
      <c r="A14" s="5"/>
      <c r="B14" s="7"/>
      <c r="C14" s="7"/>
      <c r="D14" s="7"/>
      <c r="E14" s="7"/>
      <c r="F14" s="7"/>
      <c r="G14" s="7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0354-E495-4456-A2BC-5088E3FB6FAD}">
  <dimension ref="A1:F14"/>
  <sheetViews>
    <sheetView zoomScale="130" zoomScaleNormal="130" workbookViewId="0">
      <selection activeCell="D26" sqref="D26"/>
    </sheetView>
  </sheetViews>
  <sheetFormatPr defaultRowHeight="15" x14ac:dyDescent="0.25"/>
  <cols>
    <col min="2" max="2" width="51.42578125" bestFit="1" customWidth="1"/>
    <col min="4" max="4" width="5" bestFit="1" customWidth="1"/>
    <col min="5" max="5" width="11.85546875" bestFit="1" customWidth="1"/>
    <col min="6" max="6" width="13.28515625" bestFit="1" customWidth="1"/>
  </cols>
  <sheetData>
    <row r="1" spans="1:6" ht="21" x14ac:dyDescent="0.35">
      <c r="A1" s="31" t="s">
        <v>91</v>
      </c>
      <c r="B1" s="31"/>
      <c r="C1" s="31"/>
      <c r="D1" s="31"/>
      <c r="E1" s="31"/>
      <c r="F1" s="31"/>
    </row>
    <row r="2" spans="1:6" ht="15.75" x14ac:dyDescent="0.25">
      <c r="A2" s="19" t="s">
        <v>86</v>
      </c>
    </row>
    <row r="4" spans="1:6" x14ac:dyDescent="0.25">
      <c r="A4" s="18" t="s">
        <v>85</v>
      </c>
      <c r="B4" s="17" t="s">
        <v>84</v>
      </c>
    </row>
    <row r="5" spans="1:6" x14ac:dyDescent="0.25">
      <c r="A5" s="18" t="s">
        <v>83</v>
      </c>
      <c r="B5" s="17" t="s">
        <v>82</v>
      </c>
    </row>
    <row r="6" spans="1:6" x14ac:dyDescent="0.25">
      <c r="A6" s="18" t="s">
        <v>81</v>
      </c>
      <c r="B6" s="17" t="s">
        <v>80</v>
      </c>
    </row>
    <row r="8" spans="1:6" x14ac:dyDescent="0.25">
      <c r="A8" s="20" t="s">
        <v>0</v>
      </c>
      <c r="B8" s="21" t="s">
        <v>79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x14ac:dyDescent="0.25">
      <c r="A9" s="22">
        <v>1</v>
      </c>
      <c r="B9" s="23" t="s">
        <v>78</v>
      </c>
      <c r="C9" s="22">
        <v>210</v>
      </c>
      <c r="D9" s="22" t="s">
        <v>49</v>
      </c>
      <c r="E9" s="24">
        <v>140</v>
      </c>
      <c r="F9" s="24">
        <v>29400</v>
      </c>
    </row>
    <row r="10" spans="1:6" x14ac:dyDescent="0.25">
      <c r="A10" s="22">
        <v>2</v>
      </c>
      <c r="B10" s="23" t="s">
        <v>77</v>
      </c>
      <c r="C10" s="22">
        <v>120</v>
      </c>
      <c r="D10" s="22" t="s">
        <v>49</v>
      </c>
      <c r="E10" s="24">
        <v>580</v>
      </c>
      <c r="F10" s="24">
        <v>69600</v>
      </c>
    </row>
    <row r="11" spans="1:6" x14ac:dyDescent="0.25">
      <c r="A11" s="22">
        <v>3</v>
      </c>
      <c r="B11" s="23" t="s">
        <v>76</v>
      </c>
      <c r="C11" s="22">
        <v>450</v>
      </c>
      <c r="D11" s="22" t="s">
        <v>49</v>
      </c>
      <c r="E11" s="24">
        <v>95</v>
      </c>
      <c r="F11" s="24">
        <v>42750</v>
      </c>
    </row>
    <row r="12" spans="1:6" x14ac:dyDescent="0.25">
      <c r="A12" s="5"/>
      <c r="B12" s="5"/>
      <c r="C12" s="7"/>
      <c r="D12" s="7"/>
      <c r="E12" s="25" t="s">
        <v>75</v>
      </c>
      <c r="F12" s="26">
        <f>SUM(F9:F11)</f>
        <v>141750</v>
      </c>
    </row>
    <row r="13" spans="1:6" x14ac:dyDescent="0.25">
      <c r="A13" s="5"/>
      <c r="B13" s="5"/>
      <c r="C13" s="7"/>
      <c r="D13" s="7"/>
      <c r="E13" s="22" t="s">
        <v>74</v>
      </c>
      <c r="F13" s="24">
        <f>F12*0.18</f>
        <v>25515</v>
      </c>
    </row>
    <row r="14" spans="1:6" x14ac:dyDescent="0.25">
      <c r="A14" s="5"/>
      <c r="B14" s="5"/>
      <c r="C14" s="7"/>
      <c r="D14" s="7"/>
      <c r="E14" s="25" t="s">
        <v>73</v>
      </c>
      <c r="F14" s="27">
        <f>F12+F13</f>
        <v>167265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Vidyut Enterprise</vt:lpstr>
      <vt:lpstr>Ramdev Electricals </vt:lpstr>
      <vt:lpstr>Industrial Electricals</vt:lpstr>
      <vt:lpstr>Amit Engineers</vt:lpstr>
      <vt:lpstr>Ramdev Electricals</vt:lpstr>
      <vt:lpstr>BISHNOI ENTERPRISES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2026-10-29T04:43:30Z</dcterms:created>
  <dcterms:modified xsi:type="dcterms:W3CDTF">2026-10-29T08:06:05Z</dcterms:modified>
</cp:coreProperties>
</file>