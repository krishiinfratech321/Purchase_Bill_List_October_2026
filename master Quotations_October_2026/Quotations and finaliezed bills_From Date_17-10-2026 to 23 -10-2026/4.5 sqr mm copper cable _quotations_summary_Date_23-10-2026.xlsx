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Purchase_List_October_2026\Master Quotations_October_2026\Quotations and finaliezed bills_From Date_17-10-2026 to 23 -10-2026\"/>
    </mc:Choice>
  </mc:AlternateContent>
  <xr:revisionPtr revIDLastSave="0" documentId="13_ncr:1_{CD1DB641-1D23-4397-93F6-BD6EE68A457E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All Quotations" sheetId="1" r:id="rId1"/>
  </sheets>
  <definedNames>
    <definedName name="_xlnm._FilterDatabase" localSheetId="0" hidden="1">'All Quotations'!$A$1:$O$1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M11" i="1" s="1"/>
</calcChain>
</file>

<file path=xl/sharedStrings.xml><?xml version="1.0" encoding="utf-8"?>
<sst xmlns="http://schemas.openxmlformats.org/spreadsheetml/2006/main" count="86" uniqueCount="50">
  <si>
    <t>Source/Document</t>
  </si>
  <si>
    <t>Quotation/Invoice No</t>
  </si>
  <si>
    <t>Date</t>
  </si>
  <si>
    <t>Brand/Make</t>
  </si>
  <si>
    <t>Description</t>
  </si>
  <si>
    <t>Quantity</t>
  </si>
  <si>
    <t>Rate</t>
  </si>
  <si>
    <t>Taxable Value</t>
  </si>
  <si>
    <t>CGST</t>
  </si>
  <si>
    <t>SGST</t>
  </si>
  <si>
    <t>IGST</t>
  </si>
  <si>
    <t>Total Tax</t>
  </si>
  <si>
    <t>Total Amount</t>
  </si>
  <si>
    <t>Ramdev Electricals (PDF 1)</t>
  </si>
  <si>
    <t>QUOTE/26-27/10788</t>
  </si>
  <si>
    <t>23-Oct-26</t>
  </si>
  <si>
    <t>Polycab FR-LSH</t>
  </si>
  <si>
    <t>4.0SQMM WIRES 200MTR</t>
  </si>
  <si>
    <t>2.00 coils</t>
  </si>
  <si>
    <t>Ramdev Electricals (PDF 2)</t>
  </si>
  <si>
    <t>Binani Cab (ISI)</t>
  </si>
  <si>
    <t>4.0 SQMM WIRES 90 MTRS</t>
  </si>
  <si>
    <t>4.00 coils</t>
  </si>
  <si>
    <t>Amit Electrical (PDF 3)</t>
  </si>
  <si>
    <t>155</t>
  </si>
  <si>
    <t>4 MM WIRE PRIMA</t>
  </si>
  <si>
    <t>Handwritten Note (Image 1)</t>
  </si>
  <si>
    <t>-</t>
  </si>
  <si>
    <t>R.R Wire</t>
  </si>
  <si>
    <t>4.0 Sq wire (Red 2x7280 + Black 2x7280)</t>
  </si>
  <si>
    <t>4 coils total</t>
  </si>
  <si>
    <t>Polycab</t>
  </si>
  <si>
    <t>4.0 Sq wire (Red 2x7380 + Black 2x7380)</t>
  </si>
  <si>
    <t>PolyFlex</t>
  </si>
  <si>
    <t>4.0 Sq wire (2x5180 + 2x5180)</t>
  </si>
  <si>
    <t>Handwritten Note (Image 2)</t>
  </si>
  <si>
    <t>Finolex</t>
  </si>
  <si>
    <t>4.0 Sq (90mtr)</t>
  </si>
  <si>
    <t>4 coils</t>
  </si>
  <si>
    <t>Gee deluxe</t>
  </si>
  <si>
    <t>Finaliezed</t>
  </si>
  <si>
    <t xml:space="preserve"> Approval</t>
  </si>
  <si>
    <t>Amit Engineers</t>
  </si>
  <si>
    <t>Polycab Prima</t>
  </si>
  <si>
    <t>Address</t>
  </si>
  <si>
    <t>vizag</t>
  </si>
  <si>
    <t>Bhurampur</t>
  </si>
  <si>
    <t>Durga Electricals Sompeta</t>
  </si>
  <si>
    <t xml:space="preserve"> Vizag</t>
  </si>
  <si>
    <t>dhana sree Electricals ,palasa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</si>
</sst>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"/>
  <sheetViews>
    <sheetView tabSelected="1" topLeftCell="B1" zoomScaleNormal="100" workbookViewId="0">
      <selection activeCell="N6" sqref="N6"/>
    </sheetView>
  </sheetViews>
  <sheetFormatPr defaultRowHeight="15" x14ac:dyDescent="0.25"/>
  <cols>
    <col min="1" max="1" width="26.28515625" bestFit="1" customWidth="1"/>
    <col min="2" max="2" width="24.28515625" customWidth="1"/>
    <col min="3" max="3" width="12.5703125" customWidth="1"/>
    <col min="4" max="4" width="16.5703125" bestFit="1" customWidth="1"/>
    <col min="5" max="5" width="33" customWidth="1"/>
    <col min="6" max="6" width="12.5703125" customWidth="1"/>
    <col min="7" max="7" width="14.140625" customWidth="1"/>
    <col min="8" max="8" width="18.140625" bestFit="1" customWidth="1"/>
    <col min="9" max="9" width="10.140625" bestFit="1" customWidth="1"/>
    <col min="10" max="10" width="10" bestFit="1" customWidth="1"/>
    <col min="11" max="11" width="9.5703125" bestFit="1" customWidth="1"/>
    <col min="12" max="12" width="13.42578125" bestFit="1" customWidth="1"/>
    <col min="13" max="13" width="16.85546875" customWidth="1"/>
    <col min="14" max="14" width="15.5703125" customWidth="1"/>
    <col min="15" max="15" width="17.42578125" customWidth="1"/>
  </cols>
  <sheetData>
    <row r="1" spans="1:15" ht="30" x14ac:dyDescent="0.25">
      <c r="A1" s="9" t="s">
        <v>0</v>
      </c>
      <c r="B1" s="7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7" t="s">
        <v>12</v>
      </c>
      <c r="N1" s="7" t="s">
        <v>40</v>
      </c>
      <c r="O1" s="7" t="s">
        <v>44</v>
      </c>
    </row>
    <row r="2" spans="1:15" x14ac:dyDescent="0.25">
      <c r="A2" s="1" t="s">
        <v>13</v>
      </c>
      <c r="B2" s="8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>
        <v>12137</v>
      </c>
      <c r="H2" s="1">
        <v>24274</v>
      </c>
      <c r="I2" s="1">
        <v>2184.66</v>
      </c>
      <c r="J2" s="1">
        <v>2184.66</v>
      </c>
      <c r="K2" s="1">
        <v>0</v>
      </c>
      <c r="L2" s="1">
        <v>4369.32</v>
      </c>
      <c r="M2" s="1">
        <v>28643</v>
      </c>
      <c r="N2" s="1"/>
      <c r="O2" s="1" t="s">
        <v>45</v>
      </c>
    </row>
    <row r="3" spans="1:15" x14ac:dyDescent="0.25">
      <c r="A3" s="1" t="s">
        <v>19</v>
      </c>
      <c r="B3" s="8" t="s">
        <v>14</v>
      </c>
      <c r="C3" s="1" t="s">
        <v>15</v>
      </c>
      <c r="D3" s="1" t="s">
        <v>20</v>
      </c>
      <c r="E3" s="1" t="s">
        <v>21</v>
      </c>
      <c r="F3" s="1" t="s">
        <v>22</v>
      </c>
      <c r="G3" s="1">
        <v>5000</v>
      </c>
      <c r="H3" s="1">
        <v>20000</v>
      </c>
      <c r="I3" s="1">
        <v>1800</v>
      </c>
      <c r="J3" s="1">
        <v>1800</v>
      </c>
      <c r="K3" s="1">
        <v>0</v>
      </c>
      <c r="L3" s="1">
        <v>3600</v>
      </c>
      <c r="M3" s="1">
        <v>23600</v>
      </c>
      <c r="N3" s="1"/>
      <c r="O3" s="1" t="s">
        <v>45</v>
      </c>
    </row>
    <row r="4" spans="1:15" x14ac:dyDescent="0.25">
      <c r="A4" s="2" t="s">
        <v>23</v>
      </c>
      <c r="B4" s="6" t="s">
        <v>24</v>
      </c>
      <c r="C4" s="2" t="s">
        <v>15</v>
      </c>
      <c r="D4" s="2" t="s">
        <v>43</v>
      </c>
      <c r="E4" s="2" t="s">
        <v>25</v>
      </c>
      <c r="F4" s="2" t="s">
        <v>22</v>
      </c>
      <c r="G4" s="2">
        <v>5550.85</v>
      </c>
      <c r="H4" s="2">
        <v>22203.4</v>
      </c>
      <c r="I4" s="2">
        <v>0</v>
      </c>
      <c r="J4" s="2">
        <v>0</v>
      </c>
      <c r="K4" s="2">
        <v>3996.61</v>
      </c>
      <c r="L4" s="2">
        <v>3996.61</v>
      </c>
      <c r="M4" s="2">
        <v>26200</v>
      </c>
      <c r="N4" s="2" t="s">
        <v>41</v>
      </c>
      <c r="O4" s="4" t="s">
        <v>46</v>
      </c>
    </row>
    <row r="5" spans="1:15" ht="30" x14ac:dyDescent="0.25">
      <c r="A5" s="1" t="s">
        <v>26</v>
      </c>
      <c r="B5" s="5" t="s">
        <v>27</v>
      </c>
      <c r="C5" s="1" t="s">
        <v>15</v>
      </c>
      <c r="D5" s="1" t="s">
        <v>28</v>
      </c>
      <c r="E5" s="1" t="s">
        <v>29</v>
      </c>
      <c r="F5" s="1" t="s">
        <v>30</v>
      </c>
      <c r="G5" s="1">
        <v>7280</v>
      </c>
      <c r="H5" s="1">
        <v>29120</v>
      </c>
      <c r="I5" s="1">
        <v>0</v>
      </c>
      <c r="J5" s="1">
        <v>0</v>
      </c>
      <c r="K5" s="1">
        <v>0</v>
      </c>
      <c r="L5" s="1">
        <v>0</v>
      </c>
      <c r="M5" s="1">
        <v>29120</v>
      </c>
      <c r="N5" s="1"/>
      <c r="O5" s="3" t="s">
        <v>47</v>
      </c>
    </row>
    <row r="6" spans="1:15" ht="30" x14ac:dyDescent="0.25">
      <c r="A6" s="1" t="s">
        <v>26</v>
      </c>
      <c r="B6" s="5" t="s">
        <v>27</v>
      </c>
      <c r="C6" s="1" t="s">
        <v>15</v>
      </c>
      <c r="D6" s="1" t="s">
        <v>31</v>
      </c>
      <c r="E6" s="1" t="s">
        <v>32</v>
      </c>
      <c r="F6" s="1" t="s">
        <v>30</v>
      </c>
      <c r="G6" s="1">
        <v>7380</v>
      </c>
      <c r="H6" s="1">
        <v>29520</v>
      </c>
      <c r="I6" s="1">
        <v>0</v>
      </c>
      <c r="J6" s="1">
        <v>0</v>
      </c>
      <c r="K6" s="1">
        <v>0</v>
      </c>
      <c r="L6" s="1">
        <v>0</v>
      </c>
      <c r="M6" s="1">
        <v>29520</v>
      </c>
      <c r="N6" s="1"/>
      <c r="O6" s="3" t="s">
        <v>47</v>
      </c>
    </row>
    <row r="7" spans="1:15" ht="30" x14ac:dyDescent="0.25">
      <c r="A7" s="1" t="s">
        <v>26</v>
      </c>
      <c r="B7" s="5" t="s">
        <v>27</v>
      </c>
      <c r="C7" s="1" t="s">
        <v>15</v>
      </c>
      <c r="D7" s="1" t="s">
        <v>33</v>
      </c>
      <c r="E7" s="1" t="s">
        <v>34</v>
      </c>
      <c r="F7" s="1" t="s">
        <v>30</v>
      </c>
      <c r="G7" s="1">
        <v>5180</v>
      </c>
      <c r="H7" s="1">
        <v>20720</v>
      </c>
      <c r="I7" s="1">
        <v>0</v>
      </c>
      <c r="J7" s="1">
        <v>0</v>
      </c>
      <c r="K7" s="1">
        <v>0</v>
      </c>
      <c r="L7" s="1">
        <v>0</v>
      </c>
      <c r="M7" s="1">
        <v>20720</v>
      </c>
      <c r="N7" s="1"/>
      <c r="O7" s="3" t="s">
        <v>47</v>
      </c>
    </row>
    <row r="8" spans="1:15" ht="30" x14ac:dyDescent="0.25">
      <c r="A8" s="1" t="s">
        <v>35</v>
      </c>
      <c r="B8" s="5" t="s">
        <v>27</v>
      </c>
      <c r="C8" s="1" t="s">
        <v>15</v>
      </c>
      <c r="D8" s="1" t="s">
        <v>36</v>
      </c>
      <c r="E8" s="1" t="s">
        <v>37</v>
      </c>
      <c r="F8" s="1" t="s">
        <v>38</v>
      </c>
      <c r="G8" s="1">
        <v>7025</v>
      </c>
      <c r="H8" s="1">
        <v>28100</v>
      </c>
      <c r="I8" s="1">
        <v>0</v>
      </c>
      <c r="J8" s="1">
        <v>0</v>
      </c>
      <c r="K8" s="1">
        <v>0</v>
      </c>
      <c r="L8" s="1">
        <v>0</v>
      </c>
      <c r="M8" s="1">
        <v>28100</v>
      </c>
      <c r="N8" s="1"/>
      <c r="O8" s="3" t="s">
        <v>49</v>
      </c>
    </row>
    <row r="9" spans="1:15" ht="30" x14ac:dyDescent="0.25">
      <c r="A9" s="1" t="s">
        <v>35</v>
      </c>
      <c r="B9" s="5" t="s">
        <v>27</v>
      </c>
      <c r="C9" s="1" t="s">
        <v>15</v>
      </c>
      <c r="D9" s="1" t="s">
        <v>31</v>
      </c>
      <c r="E9" s="1" t="s">
        <v>37</v>
      </c>
      <c r="F9" s="1" t="s">
        <v>38</v>
      </c>
      <c r="G9" s="1">
        <v>7210</v>
      </c>
      <c r="H9" s="1">
        <v>28840</v>
      </c>
      <c r="I9" s="1">
        <v>0</v>
      </c>
      <c r="J9" s="1">
        <v>0</v>
      </c>
      <c r="K9" s="1">
        <v>0</v>
      </c>
      <c r="L9" s="1">
        <v>0</v>
      </c>
      <c r="M9" s="1">
        <v>28840</v>
      </c>
      <c r="N9" s="1"/>
      <c r="O9" s="3" t="s">
        <v>49</v>
      </c>
    </row>
    <row r="10" spans="1:15" ht="30" x14ac:dyDescent="0.25">
      <c r="A10" s="1" t="s">
        <v>35</v>
      </c>
      <c r="B10" s="5" t="s">
        <v>27</v>
      </c>
      <c r="C10" s="1" t="s">
        <v>15</v>
      </c>
      <c r="D10" s="1" t="s">
        <v>39</v>
      </c>
      <c r="E10" s="1" t="s">
        <v>37</v>
      </c>
      <c r="F10" s="1" t="s">
        <v>38</v>
      </c>
      <c r="G10" s="1">
        <v>6320</v>
      </c>
      <c r="H10" s="1">
        <v>25280</v>
      </c>
      <c r="I10" s="1">
        <v>0</v>
      </c>
      <c r="J10" s="1">
        <v>0</v>
      </c>
      <c r="K10" s="1">
        <v>0</v>
      </c>
      <c r="L10" s="1">
        <v>0</v>
      </c>
      <c r="M10" s="1">
        <v>25280</v>
      </c>
      <c r="N10" s="1"/>
      <c r="O10" s="3" t="s">
        <v>49</v>
      </c>
    </row>
    <row r="11" spans="1:15" x14ac:dyDescent="0.25">
      <c r="A11" s="1" t="s">
        <v>42</v>
      </c>
      <c r="B11" s="5" t="s">
        <v>27</v>
      </c>
      <c r="C11" s="1" t="s">
        <v>15</v>
      </c>
      <c r="D11" s="1" t="s">
        <v>31</v>
      </c>
      <c r="E11" s="1" t="s">
        <v>37</v>
      </c>
      <c r="F11" s="1" t="s">
        <v>38</v>
      </c>
      <c r="G11" s="1">
        <v>6050</v>
      </c>
      <c r="H11" s="1">
        <f>G11*4</f>
        <v>24200</v>
      </c>
      <c r="I11" s="1">
        <v>0</v>
      </c>
      <c r="J11" s="1">
        <v>0</v>
      </c>
      <c r="K11" s="1">
        <v>18</v>
      </c>
      <c r="L11" s="1">
        <v>0</v>
      </c>
      <c r="M11" s="1">
        <f>H11*(1+K11/100)</f>
        <v>28556</v>
      </c>
      <c r="N11" s="1"/>
      <c r="O11" s="1" t="s">
        <v>48</v>
      </c>
    </row>
    <row r="12" spans="1:15" x14ac:dyDescent="0.25">
      <c r="A12" s="1"/>
      <c r="B12" s="5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</sheetData>
  <autoFilter ref="A1:O1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Quotations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2026-10-24T06:34:15Z</dcterms:created>
  <dcterms:modified xsi:type="dcterms:W3CDTF">2026-10-29T08:15:34Z</dcterms:modified>
</cp:coreProperties>
</file>