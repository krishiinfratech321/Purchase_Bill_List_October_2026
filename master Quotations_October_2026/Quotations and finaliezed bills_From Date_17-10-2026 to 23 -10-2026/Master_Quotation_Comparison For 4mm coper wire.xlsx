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omments1.xml" ContentType="application/vnd.openxmlformats-officedocument.spreadsheetml.comments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Purchase_List_October_2026\Master Quotations_October_2026\Quotations and finaliezed bills_From Date_17-10-2026 to 23 -10-2026\"/>
    </mc:Choice>
  </mc:AlternateContent>
  <xr:revisionPtr revIDLastSave="0" documentId="13_ncr:1_{F963B271-49DE-48C9-81EC-B536BE34EE3C}" xr6:coauthVersionLast="47" xr6:coauthVersionMax="47" xr10:uidLastSave="{00000000-0000-0000-0000-000000000000}"/>
  <bookViews>
    <workbookView xWindow="-120" yWindow="-120" windowWidth="25440" windowHeight="15270" tabRatio="783" activeTab="5" xr2:uid="{EA74EA6A-41FE-42B7-B5E3-F15DF1371829}"/>
  </bookViews>
  <sheets>
    <sheet name="Cutting &amp; Grinding wheels" sheetId="1" r:id="rId1"/>
    <sheet name="Welding Rods _Quotation" sheetId="2" r:id="rId2"/>
    <sheet name="Bentonite Powder" sheetId="3" r:id="rId3"/>
    <sheet name="Foam Sheet &amp; Gum" sheetId="4" r:id="rId4"/>
    <sheet name="Barbending Machine &amp; Vibrator" sheetId="5" r:id="rId5"/>
    <sheet name="MS Bolts &amp; Nuts with washer " sheetId="6" r:id="rId6"/>
  </sheets>
  <definedNames>
    <definedName name="_xlnm._FilterDatabase" localSheetId="3" hidden="1">'Foam Sheet &amp; Gum'!$A$3:$L$3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5" i="1" l="1"/>
  <c r="I39" i="1"/>
  <c r="I37" i="1"/>
  <c r="I41" i="1"/>
  <c r="G4" i="6"/>
  <c r="I4" i="6" s="1"/>
  <c r="G6" i="6"/>
  <c r="I6" i="6" s="1"/>
  <c r="G40" i="2"/>
  <c r="I40" i="2" s="1"/>
  <c r="G39" i="2"/>
  <c r="I39" i="2" s="1"/>
  <c r="G38" i="2"/>
  <c r="I38" i="2" s="1"/>
  <c r="I41" i="2" s="1"/>
  <c r="I7" i="4"/>
  <c r="I6" i="4"/>
  <c r="G6" i="4"/>
  <c r="I11" i="4"/>
  <c r="I9" i="4"/>
  <c r="G9" i="4"/>
  <c r="G35" i="2"/>
  <c r="I35" i="2" s="1"/>
  <c r="G34" i="2"/>
  <c r="I34" i="2"/>
  <c r="I8" i="2"/>
  <c r="G33" i="2"/>
  <c r="I33" i="2" s="1"/>
  <c r="I36" i="2" s="1"/>
  <c r="G34" i="1"/>
  <c r="I34" i="1" s="1"/>
  <c r="G24" i="5"/>
  <c r="G23" i="5"/>
  <c r="G7" i="5"/>
  <c r="G6" i="5"/>
  <c r="G8" i="5" s="1"/>
  <c r="G10" i="4"/>
  <c r="I10" i="4" s="1"/>
  <c r="G5" i="4"/>
  <c r="I5" i="4" s="1"/>
  <c r="G6" i="3"/>
  <c r="J6" i="3" s="1"/>
  <c r="K6" i="3" s="1"/>
  <c r="G5" i="3"/>
  <c r="J5" i="3" s="1"/>
  <c r="K5" i="3" s="1"/>
  <c r="G4" i="3"/>
  <c r="J4" i="3" s="1"/>
  <c r="K4" i="3" s="1"/>
  <c r="G36" i="1"/>
  <c r="I36" i="1" s="1"/>
  <c r="G35" i="1"/>
  <c r="I35" i="1" s="1"/>
  <c r="G33" i="1"/>
  <c r="I33" i="1" s="1"/>
  <c r="G30" i="1"/>
  <c r="I30" i="1" s="1"/>
  <c r="G29" i="1"/>
  <c r="I29" i="1" s="1"/>
  <c r="G28" i="1"/>
  <c r="I28" i="1" s="1"/>
  <c r="G27" i="1"/>
  <c r="I27" i="1" s="1"/>
  <c r="G26" i="1"/>
  <c r="I26" i="1" s="1"/>
  <c r="I31" i="1" s="1"/>
  <c r="G20" i="1"/>
  <c r="I20" i="1" s="1"/>
  <c r="G19" i="1"/>
  <c r="I19" i="1" s="1"/>
  <c r="G18" i="1"/>
  <c r="I18" i="1" s="1"/>
  <c r="I23" i="1" s="1"/>
  <c r="G17" i="1"/>
  <c r="I17" i="1" s="1"/>
  <c r="G14" i="1"/>
  <c r="I14" i="1" s="1"/>
  <c r="G13" i="1"/>
  <c r="I13" i="1" s="1"/>
  <c r="G12" i="1"/>
  <c r="I12" i="1" s="1"/>
  <c r="G11" i="1"/>
  <c r="I11" i="1" s="1"/>
  <c r="I15" i="1" s="1"/>
  <c r="G8" i="1"/>
  <c r="I8" i="1" s="1"/>
  <c r="G7" i="1"/>
  <c r="I7" i="1" s="1"/>
  <c r="G6" i="1"/>
  <c r="I6" i="1" s="1"/>
  <c r="G5" i="1"/>
  <c r="I5" i="1" s="1"/>
  <c r="I9" i="1" s="1"/>
  <c r="G25" i="5" l="1"/>
  <c r="G26" i="5"/>
  <c r="G27" i="5"/>
  <c r="G9" i="5"/>
  <c r="G10" i="5" s="1"/>
  <c r="I2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5" authorId="0" shapeId="0" xr:uid="{5C85B710-56FF-4C57-8323-0FA5CD2E203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9" authorId="0" shapeId="0" xr:uid="{7CB21CA3-8267-4C4E-ADD0-32E3ABF3F9B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<sst xmlns="http://schemas.openxmlformats.org/spreadsheetml/2006/main" count="388" uniqueCount="193">
  <si>
    <t>CUTTING &amp; GRINDING WHEEL  MASTER SUPPLIER QUOTATION COMPARISON SHEET - KRISHI INFRATECH</t>
  </si>
  <si>
    <t>S NO</t>
  </si>
  <si>
    <t>Item Description &amp; Specifications</t>
  </si>
  <si>
    <t>HSN/SAC</t>
  </si>
  <si>
    <t>UOM</t>
  </si>
  <si>
    <t>Qty</t>
  </si>
  <si>
    <t>Unit Rate (For pcs)</t>
  </si>
  <si>
    <t>Taxable Amt</t>
  </si>
  <si>
    <t>GST (%)</t>
  </si>
  <si>
    <t>Total Amount</t>
  </si>
  <si>
    <t xml:space="preserve">Dealers </t>
  </si>
  <si>
    <t>Contact Dedails</t>
  </si>
  <si>
    <t>HIKOKI COMPANY</t>
  </si>
  <si>
    <r>
      <rPr>
        <b/>
        <sz val="12"/>
        <color theme="1"/>
        <rFont val="Calibri"/>
        <family val="2"/>
        <scheme val="minor"/>
      </rPr>
      <t>"Hikoki"</t>
    </r>
    <r>
      <rPr>
        <sz val="12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CUT OFF WHEEL (107x1x16mm) Blue Value(50Pcs)</t>
    </r>
  </si>
  <si>
    <t xml:space="preserve">Model: 796245 </t>
  </si>
  <si>
    <t>Box/Pcs</t>
  </si>
  <si>
    <t>SR. Sales Executive, Delhi,Hydarabad</t>
  </si>
  <si>
    <t xml:space="preserve"> 98914 75016</t>
  </si>
  <si>
    <r>
      <rPr>
        <b/>
        <sz val="11"/>
        <color theme="1"/>
        <rFont val="Calibri"/>
        <family val="2"/>
        <scheme val="minor"/>
      </rPr>
      <t>"Hikoki"</t>
    </r>
    <r>
      <rPr>
        <sz val="11"/>
        <color theme="1"/>
        <rFont val="Calibri"/>
        <family val="2"/>
        <scheme val="minor"/>
      </rPr>
      <t xml:space="preserve"> (4") 100x4.0x16.0 mm Grinding Wheel(25Pcs)</t>
    </r>
  </si>
  <si>
    <t xml:space="preserve">Model: C414033 </t>
  </si>
  <si>
    <r>
      <rPr>
        <b/>
        <sz val="11"/>
        <color theme="1"/>
        <rFont val="Calibri"/>
        <family val="2"/>
        <scheme val="minor"/>
      </rPr>
      <t xml:space="preserve"> "Hikoki"</t>
    </r>
    <r>
      <rPr>
        <sz val="11"/>
        <color theme="1"/>
        <rFont val="Calibri"/>
        <family val="2"/>
        <scheme val="minor"/>
      </rPr>
      <t xml:space="preserve">  (7") 180x3.0x22.2 mm CUT OFF WHEEL (25Psc)</t>
    </r>
  </si>
  <si>
    <t xml:space="preserve">Model: 702170 </t>
  </si>
  <si>
    <r>
      <t xml:space="preserve"> </t>
    </r>
    <r>
      <rPr>
        <b/>
        <sz val="11"/>
        <color theme="1"/>
        <rFont val="Calibri"/>
        <family val="2"/>
        <scheme val="minor"/>
      </rPr>
      <t xml:space="preserve"> "Hikoki"</t>
    </r>
    <r>
      <rPr>
        <sz val="11"/>
        <color theme="1"/>
        <rFont val="Calibri"/>
        <family val="2"/>
        <scheme val="minor"/>
      </rPr>
      <t xml:space="preserve">   (7") 180x6.0x22.2 mm GRINDING WHEEL(10PCS)</t>
    </r>
  </si>
  <si>
    <t>Model: 701070 -</t>
  </si>
  <si>
    <t>TOTAL</t>
  </si>
  <si>
    <t>HYDARABAD DEALER</t>
  </si>
  <si>
    <r>
      <rPr>
        <b/>
        <sz val="12"/>
        <color theme="1"/>
        <rFont val="Calibri"/>
        <family val="2"/>
        <scheme val="minor"/>
      </rPr>
      <t>"Bosch"</t>
    </r>
    <r>
      <rPr>
        <sz val="12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CUT OFF WHEEL (107x1x16mm) Blue Value(50Pcs)</t>
    </r>
  </si>
  <si>
    <t>Hydarabad</t>
  </si>
  <si>
    <t>+91 88052 65057</t>
  </si>
  <si>
    <r>
      <rPr>
        <b/>
        <sz val="11"/>
        <color theme="1"/>
        <rFont val="Calibri"/>
        <family val="2"/>
        <scheme val="minor"/>
      </rPr>
      <t xml:space="preserve"> "Bosch" </t>
    </r>
    <r>
      <rPr>
        <sz val="11"/>
        <color theme="1"/>
        <rFont val="Calibri"/>
        <family val="2"/>
        <scheme val="minor"/>
      </rPr>
      <t xml:space="preserve"> (4") 100x4.0x16.0 mm Grinding Wheel(25Pcs)</t>
    </r>
  </si>
  <si>
    <r>
      <rPr>
        <b/>
        <sz val="11"/>
        <color theme="1"/>
        <rFont val="Calibri"/>
        <family val="2"/>
        <scheme val="minor"/>
      </rPr>
      <t xml:space="preserve"> "Bosch" </t>
    </r>
    <r>
      <rPr>
        <sz val="11"/>
        <color theme="1"/>
        <rFont val="Calibri"/>
        <family val="2"/>
        <scheme val="minor"/>
      </rPr>
      <t xml:space="preserve"> (7") 180x3.0x22.2 mm CUT OFF WHEEL (25Psc)</t>
    </r>
  </si>
  <si>
    <r>
      <rPr>
        <b/>
        <sz val="11"/>
        <color theme="1"/>
        <rFont val="Calibri"/>
        <family val="2"/>
        <scheme val="minor"/>
      </rPr>
      <t xml:space="preserve">  "Bosch"   </t>
    </r>
    <r>
      <rPr>
        <sz val="11"/>
        <color theme="1"/>
        <rFont val="Calibri"/>
        <family val="2"/>
        <scheme val="minor"/>
      </rPr>
      <t>(7") 180x6.0x22.2 mm GRINDING WHEEL(10PCS)</t>
    </r>
  </si>
  <si>
    <t>AMIT ENGINEERS ,VIZAG</t>
  </si>
  <si>
    <r>
      <rPr>
        <b/>
        <sz val="11"/>
        <color theme="1"/>
        <rFont val="Calibri"/>
        <family val="2"/>
        <scheme val="minor"/>
      </rPr>
      <t>"HIKOKI"</t>
    </r>
    <r>
      <rPr>
        <sz val="11"/>
        <color theme="1"/>
        <rFont val="Calibri"/>
        <family val="2"/>
        <scheme val="minor"/>
      </rPr>
      <t xml:space="preserve"> CUT OFF WHEELS  4 INCH  (100 X 2 X 16MM) (702140Z) HSN Code 68042210 68042210 68042290 Unit NOS NOS Qty 25.00 10.00 Rate Per Unit (Rs.) 38.00 Value (Rs.) 81.00 NOS 25.00 88.00 950.00 810.00 2200.00 68042290 DIA :100 mm , MAKE :HITACHI, THICK :2 mm , BORE :16 mm</t>
    </r>
  </si>
  <si>
    <t>Amit Engineners Vizag</t>
  </si>
  <si>
    <t>98481 96449</t>
  </si>
  <si>
    <r>
      <rPr>
        <b/>
        <sz val="11"/>
        <color theme="4"/>
        <rFont val="Calibri"/>
        <family val="2"/>
        <scheme val="minor"/>
      </rPr>
      <t>"HIKOKI</t>
    </r>
    <r>
      <rPr>
        <sz val="11"/>
        <color theme="4"/>
        <rFont val="Calibri"/>
        <family val="2"/>
        <scheme val="minor"/>
      </rPr>
      <t>" CUT OFF WHEEL (7")180X3X22MM (702170Z) DIA :180MM(7"), MAKE : HITACHI, THICK : 3MM, BORE : 22MM</t>
    </r>
  </si>
  <si>
    <t>E-ZONE  ,VIZAG</t>
  </si>
  <si>
    <r>
      <t xml:space="preserve">4" Cutting wheels </t>
    </r>
    <r>
      <rPr>
        <b/>
        <sz val="11"/>
        <color theme="1"/>
        <rFont val="Calibri"/>
        <family val="2"/>
        <scheme val="minor"/>
      </rPr>
      <t>MC WELD</t>
    </r>
  </si>
  <si>
    <t xml:space="preserve"> E - ZONE VIZAG</t>
  </si>
  <si>
    <r>
      <t xml:space="preserve">4" CUTTING WHEELS </t>
    </r>
    <r>
      <rPr>
        <b/>
        <sz val="11"/>
        <color theme="1"/>
        <rFont val="Calibri"/>
        <family val="2"/>
        <scheme val="minor"/>
      </rPr>
      <t>"BOSCH"</t>
    </r>
  </si>
  <si>
    <r>
      <t xml:space="preserve">7" CUTTING WHEELS </t>
    </r>
    <r>
      <rPr>
        <b/>
        <sz val="11"/>
        <color theme="1"/>
        <rFont val="Calibri"/>
        <family val="2"/>
        <scheme val="minor"/>
      </rPr>
      <t>"BOSCH"</t>
    </r>
  </si>
  <si>
    <r>
      <t xml:space="preserve">5 7" GRINDING WHEEL </t>
    </r>
    <r>
      <rPr>
        <b/>
        <sz val="11"/>
        <color theme="1"/>
        <rFont val="Calibri"/>
        <family val="2"/>
        <scheme val="minor"/>
      </rPr>
      <t>"BOSCH"</t>
    </r>
  </si>
  <si>
    <t xml:space="preserve">CHINTAMNI TRADERS ,SOMPETA </t>
  </si>
  <si>
    <t>SOMPETA</t>
  </si>
  <si>
    <t>94949 17368</t>
  </si>
  <si>
    <r>
      <t xml:space="preserve"> 7" GRINDING WHEEL </t>
    </r>
    <r>
      <rPr>
        <b/>
        <sz val="11"/>
        <color theme="1"/>
        <rFont val="Calibri"/>
        <family val="2"/>
        <scheme val="minor"/>
      </rPr>
      <t>"BOSCH"</t>
    </r>
  </si>
  <si>
    <t>WELDING RODS  MASTER SUPPLIER QUOTATION COMPARISON SHEET - KRISHI INFRATECH</t>
  </si>
  <si>
    <t>Unit Rate (For Kg)</t>
  </si>
  <si>
    <r>
      <t xml:space="preserve">STARBLAZE PRIM </t>
    </r>
    <r>
      <rPr>
        <sz val="10"/>
        <color rgb="FF70AD47"/>
        <rFont val="Palatino Linotype"/>
        <family val="1"/>
      </rPr>
      <t>E 7018 WELDING ELECTRODE SIZE: 4.0 X 450MM</t>
    </r>
  </si>
  <si>
    <t>KGS</t>
  </si>
  <si>
    <t>AP Dealer</t>
  </si>
  <si>
    <t xml:space="preserve"> 86888 55594</t>
  </si>
  <si>
    <r>
      <t>STARBLAZE PRIME</t>
    </r>
    <r>
      <rPr>
        <sz val="10"/>
        <color rgb="FF70AD47"/>
        <rFont val="Palatino Linotype"/>
        <family val="1"/>
      </rPr>
      <t xml:space="preserve"> E:6013 WELDING ELECTRODE SIZE: 3.15 X 350MM</t>
    </r>
  </si>
  <si>
    <r>
      <t>STARBLAZE PRIME</t>
    </r>
    <r>
      <rPr>
        <sz val="10"/>
        <color rgb="FF70AD47"/>
        <rFont val="Palatino Linotype"/>
        <family val="1"/>
      </rPr>
      <t xml:space="preserve"> E:6013 WELDING ELECTRODE SIZE: 4.0 X 450MM</t>
    </r>
  </si>
  <si>
    <r>
      <t xml:space="preserve">MANGALAM </t>
    </r>
    <r>
      <rPr>
        <sz val="10"/>
        <rFont val="Palatino Linotype"/>
        <family val="1"/>
      </rPr>
      <t>E 7018 WELDING ELECTRODE SIZE: 4.0 X 450MM</t>
    </r>
  </si>
  <si>
    <t>98490 04338</t>
  </si>
  <si>
    <r>
      <t>MANGALAM</t>
    </r>
    <r>
      <rPr>
        <sz val="10"/>
        <rFont val="Palatino Linotype"/>
        <family val="1"/>
      </rPr>
      <t xml:space="preserve"> E:6013 WELDING ELECTRODE SIZE: 3.15 X 350MM</t>
    </r>
  </si>
  <si>
    <r>
      <t>MANGALAM</t>
    </r>
    <r>
      <rPr>
        <sz val="10"/>
        <rFont val="Palatino Linotype"/>
        <family val="1"/>
      </rPr>
      <t xml:space="preserve"> E:6013 WELDING ELECTRODE SIZE: 4.0 X 450MM</t>
    </r>
  </si>
  <si>
    <t>DIFFUSION ENGINEEAS , NAGAPUR, CONTACT TO VIZAG DEALER</t>
  </si>
  <si>
    <r>
      <t xml:space="preserve">Diffusion </t>
    </r>
    <r>
      <rPr>
        <sz val="10"/>
        <color rgb="FF4472C4"/>
        <rFont val="Palatino Linotype"/>
        <family val="1"/>
      </rPr>
      <t>E 7018 WELDING ELECTRODE SIZE: 4.0 X 450MM</t>
    </r>
  </si>
  <si>
    <r>
      <t xml:space="preserve">Dy.Genera  Manager,     </t>
    </r>
    <r>
      <rPr>
        <sz val="11"/>
        <color rgb="FFFFC000"/>
        <rFont val="Segoe UI"/>
        <family val="2"/>
      </rPr>
      <t xml:space="preserve">Nagpur      </t>
    </r>
    <r>
      <rPr>
        <sz val="11"/>
        <color rgb="FF4472C4"/>
        <rFont val="Segoe UI"/>
        <family val="2"/>
      </rPr>
      <t xml:space="preserve">                              vizag Dealer </t>
    </r>
  </si>
  <si>
    <r>
      <t xml:space="preserve">8805265057  </t>
    </r>
    <r>
      <rPr>
        <sz val="11"/>
        <color rgb="FF4472C4"/>
        <rFont val="Calibri"/>
        <family val="2"/>
        <scheme val="minor"/>
      </rPr>
      <t xml:space="preserve">                  99895 92244</t>
    </r>
  </si>
  <si>
    <r>
      <t>Diffusion</t>
    </r>
    <r>
      <rPr>
        <sz val="10"/>
        <color rgb="FF4472C4"/>
        <rFont val="Palatino Linotype"/>
        <family val="1"/>
      </rPr>
      <t xml:space="preserve"> E:6013 WELDING ELECTRODE SIZE: 3.15 X 350MM</t>
    </r>
  </si>
  <si>
    <r>
      <t>Diffusion</t>
    </r>
    <r>
      <rPr>
        <sz val="10"/>
        <color rgb="FF4472C4"/>
        <rFont val="Palatino Linotype"/>
        <family val="1"/>
      </rPr>
      <t xml:space="preserve"> E:6013 WELDING ELECTRODE SIZE: 4.0 X 450MM</t>
    </r>
  </si>
  <si>
    <t>Amit Engineer ,Vizag</t>
  </si>
  <si>
    <r>
      <t>STARBLAZE PRIME</t>
    </r>
    <r>
      <rPr>
        <sz val="10"/>
        <rFont val="Palatino Linotype"/>
        <family val="1"/>
      </rPr>
      <t xml:space="preserve"> 7018 WELDING ELECTRODE SIZE: 4.0 X 450MM (IN KGS.) DIA :4.0 MM, LENGTH :450 MM, MAKE : STELLARIS SPECIALITIES, AWS: E:7018, STD.PKG. :20 KGS. PER BOX 5 PKTS, NO.OF PCS. PER KG. : 15 PCS</t>
    </r>
  </si>
  <si>
    <r>
      <t>STARBLAZE PRIME</t>
    </r>
    <r>
      <rPr>
        <sz val="10"/>
        <rFont val="Palatino Linotype"/>
        <family val="1"/>
      </rPr>
      <t xml:space="preserve"> E:6013 WELDING ELECTRODE SIZE: 3.15 X 350MM (IN KGS.) AWS: E:6013, DIA : 3.15 MM, LENGTH : 350 MM, STD.PKG. : 20 KGS. PER BOX OF 8 PKTS, MAKE : STELLARIS</t>
    </r>
  </si>
  <si>
    <r>
      <t xml:space="preserve">STARBLAZE PRIME </t>
    </r>
    <r>
      <rPr>
        <sz val="10"/>
        <rFont val="Palatino Linotype"/>
        <family val="1"/>
      </rPr>
      <t>E:6013 WELDING ELECTRODE SIZE: 4.0 X 450MM (IN KGS.) DIA : 4.0 MM, LENGTH : 450 MM, AWS: E: 6013, STD.PKG. : 20 KGS. PER BOX OF 8 PKTS, MAKE : STELLARIS</t>
    </r>
  </si>
  <si>
    <t>RASI COMPANY ,CHENNAI</t>
  </si>
  <si>
    <r>
      <t xml:space="preserve">RASI  </t>
    </r>
    <r>
      <rPr>
        <sz val="10"/>
        <rFont val="Palatino Linotype"/>
        <family val="1"/>
      </rPr>
      <t>E 7018 WELDING ELECTRODE SIZE: 4.0 X 450MM</t>
    </r>
  </si>
  <si>
    <t>Sales Manager , CHENNAI</t>
  </si>
  <si>
    <t xml:space="preserve"> 98411 15839</t>
  </si>
  <si>
    <r>
      <t>RASI  E</t>
    </r>
    <r>
      <rPr>
        <sz val="10"/>
        <rFont val="Palatino Linotype"/>
        <family val="1"/>
      </rPr>
      <t xml:space="preserve"> E:6013 WELDING ELECTRODE SIZE: 3.15 X 350MM</t>
    </r>
  </si>
  <si>
    <r>
      <t xml:space="preserve">RASI </t>
    </r>
    <r>
      <rPr>
        <sz val="10"/>
        <rFont val="Palatino Linotype"/>
        <family val="1"/>
      </rPr>
      <t xml:space="preserve"> E:6013 WELDING ELECTRODE SIZE: 4.0 X 450MM</t>
    </r>
  </si>
  <si>
    <t xml:space="preserve">                     D&amp;H(India) Ltd, SALES Manager</t>
  </si>
  <si>
    <r>
      <t xml:space="preserve">Welding Electrodes E 7018,                                                                                                                       </t>
    </r>
    <r>
      <rPr>
        <b/>
        <sz val="10"/>
        <rFont val="Palatino Linotype"/>
        <family val="1"/>
      </rPr>
      <t>SUPER-LH</t>
    </r>
    <r>
      <rPr>
        <sz val="10"/>
        <rFont val="Palatino Linotype"/>
        <family val="1"/>
      </rPr>
      <t xml:space="preserve"> ---- Dia 4.00x450mm---Rs.2350 / Box (Approx 18.5 Kg / Box ),                                                                    Make of products: D&amp;H(India) Ltd</t>
    </r>
  </si>
  <si>
    <t>Sales Manager , Hydarabad</t>
  </si>
  <si>
    <t>+91 98480 18073</t>
  </si>
  <si>
    <r>
      <t xml:space="preserve">Welding Electrodes  E-6013,                                                                    1) </t>
    </r>
    <r>
      <rPr>
        <b/>
        <sz val="10"/>
        <rFont val="Palatino Linotype"/>
        <family val="1"/>
      </rPr>
      <t xml:space="preserve">     Standard-</t>
    </r>
    <r>
      <rPr>
        <sz val="10"/>
        <rFont val="Palatino Linotype"/>
        <family val="1"/>
      </rPr>
      <t>--- Dia: 3.15x450mm--₹2500/- Box(20Kg)Make of products: D&amp;H(India) Ltd</t>
    </r>
  </si>
  <si>
    <r>
      <t xml:space="preserve">Welding Electrodes  E-6013,                                                       2)     </t>
    </r>
    <r>
      <rPr>
        <b/>
        <sz val="10"/>
        <rFont val="Palatino Linotype"/>
        <family val="1"/>
      </rPr>
      <t>Standard</t>
    </r>
    <r>
      <rPr>
        <sz val="10"/>
        <rFont val="Palatino Linotype"/>
        <family val="1"/>
      </rPr>
      <t xml:space="preserve"> ---Dia: 4.00x450mm--- ₹2450/ Box (20Kg)
Make of products: D&amp;H(India) Ltd</t>
    </r>
  </si>
  <si>
    <t xml:space="preserve">   Sompeta</t>
  </si>
  <si>
    <t xml:space="preserve">Chintamani Traders </t>
  </si>
  <si>
    <t xml:space="preserve"> Girder Requirement MASTER SUPPLIER QUOTATION COMPARISON SHEET - KRISHI INFRATECH</t>
  </si>
  <si>
    <t xml:space="preserve">Qty Bags </t>
  </si>
  <si>
    <t>Taxable Amt for Bag</t>
  </si>
  <si>
    <t>Freight</t>
  </si>
  <si>
    <t xml:space="preserve">Total Amount for bag </t>
  </si>
  <si>
    <t>Total</t>
  </si>
  <si>
    <t>STORE</t>
  </si>
  <si>
    <t>Contact Details</t>
  </si>
  <si>
    <t>Bentonite powder - Piling Grade (Packing : 50kg bag)</t>
  </si>
  <si>
    <t>Kg</t>
  </si>
  <si>
    <t xml:space="preserve">Not Including </t>
  </si>
  <si>
    <t>Vizag</t>
  </si>
  <si>
    <t xml:space="preserve">Including </t>
  </si>
  <si>
    <t>kg</t>
  </si>
  <si>
    <t>Gajuwaka</t>
  </si>
  <si>
    <t>FOAM SHEET &amp; GUM  MASTER SUPPLIER QUOTATION COMPARISON SHEET - KRISHI INFRATECH</t>
  </si>
  <si>
    <t>Unit Rate (For MTR)</t>
  </si>
  <si>
    <t>Agarwal Foam Sheet Furniture ,Vizag</t>
  </si>
  <si>
    <t>Foam sheet 3mm one role</t>
  </si>
  <si>
    <t xml:space="preserve">One Role </t>
  </si>
  <si>
    <t>VIZAG</t>
  </si>
  <si>
    <t>90002 49887</t>
  </si>
  <si>
    <t>Gum  (Tuff Bond)</t>
  </si>
  <si>
    <t>90002 49888</t>
  </si>
  <si>
    <t>Amit Engineers ,Vizag</t>
  </si>
  <si>
    <t>FOAM SHEET 3MM (135MTR) 3MM THIK NESS, 5FEET WIDTH</t>
  </si>
  <si>
    <t>25 liters barrel</t>
  </si>
  <si>
    <t>Gum {Bejod},Synthetic Rubber Adhesive No.1</t>
  </si>
  <si>
    <t>QUOTATION COMPARISON SHEET FOR BARBENDING MACHINE ,VIBRATOR</t>
  </si>
  <si>
    <t>S.No.</t>
  </si>
  <si>
    <t>Item Description / Specifications</t>
  </si>
  <si>
    <t>Model/Code</t>
  </si>
  <si>
    <t>Original Price</t>
  </si>
  <si>
    <t>Discounted Price</t>
  </si>
  <si>
    <t>Total (Excl. GST)</t>
  </si>
  <si>
    <t>Bar Cutting Machine (6mm-40mm, 4KW, 2880rpm, 520kg)</t>
  </si>
  <si>
    <t>ACE-GQ50/C50</t>
  </si>
  <si>
    <t>Bar Bending Machine (32mm rebar, 5HP/3.75kW, 340kg)</t>
  </si>
  <si>
    <t>Ace-B42</t>
  </si>
  <si>
    <t>Subtotal</t>
  </si>
  <si>
    <t>GST (18% Extra)</t>
  </si>
  <si>
    <t>Grand Total (Estimated)</t>
  </si>
  <si>
    <t>Terms &amp; Conditions (Altech):</t>
  </si>
  <si>
    <t>• Delivery: Ready Stock</t>
  </si>
  <si>
    <t>• Payment: 100% advance payment</t>
  </si>
  <si>
    <t>• Price: Ex-Showroom Hyderabad</t>
  </si>
  <si>
    <t>• Warranty: 6 Months against manufacturing defects only (excludes rubber, wear parts, electricals)</t>
  </si>
  <si>
    <t>• Validity: 30 Days</t>
  </si>
  <si>
    <t>• Transportation: Extra</t>
  </si>
  <si>
    <t>BAR BENDING MACHINE (Up to 32MM Regular, 5Hp Brake Motor, 3Phase, 400kg)</t>
  </si>
  <si>
    <t>8462</t>
  </si>
  <si>
    <t>Handy Vibrator with 3 Meter Needle (2000Watts Vibrator)</t>
  </si>
  <si>
    <t>9024</t>
  </si>
  <si>
    <t>Grand Total</t>
  </si>
  <si>
    <t>• GST 18% Extra</t>
  </si>
  <si>
    <t>• Payment: 100% Advance payment along with purchase order through bank transfer</t>
  </si>
  <si>
    <t>• Transportation charges Extra</t>
  </si>
  <si>
    <t>• Warranty: 1 year warranty against manufacturing defect</t>
  </si>
  <si>
    <t>• Bank Name: SBI | A/C: 42323012893 | Branch: BIBLE HOUSE | IFSC: SBIN0002788</t>
  </si>
  <si>
    <t>s</t>
  </si>
  <si>
    <r>
      <t xml:space="preserve">Dy.Genera  Manager,     </t>
    </r>
    <r>
      <rPr>
        <sz val="11"/>
        <color rgb="FFFFC000"/>
        <rFont val="Segoe UI"/>
        <family val="2"/>
      </rPr>
      <t xml:space="preserve">Nagpur &amp;     </t>
    </r>
    <r>
      <rPr>
        <sz val="11"/>
        <color rgb="FF4472C4"/>
        <rFont val="Segoe UI"/>
        <family val="2"/>
      </rPr>
      <t xml:space="preserve">                              vizag Dealer </t>
    </r>
  </si>
  <si>
    <t> 984 984 7406</t>
  </si>
  <si>
    <r>
      <rPr>
        <b/>
        <sz val="12"/>
        <color rgb="FF212121"/>
        <rFont val="Calibri"/>
        <family val="2"/>
        <scheme val="minor"/>
      </rPr>
      <t>ESAB India Limite</t>
    </r>
    <r>
      <rPr>
        <sz val="12"/>
        <color rgb="FF212121"/>
        <rFont val="Calibri"/>
        <family val="2"/>
        <scheme val="minor"/>
      </rPr>
      <t>d</t>
    </r>
    <r>
      <rPr>
        <sz val="11"/>
        <color rgb="FF212121"/>
        <rFont val="Calibri"/>
        <family val="2"/>
        <scheme val="minor"/>
      </rPr>
      <t xml:space="preserve"> E 6013 - ESAB SW 6013 - 3.15x350MM- RS.1850.00 CASE [6 PKTS/ 510 PCS].</t>
    </r>
  </si>
  <si>
    <r>
      <rPr>
        <b/>
        <sz val="12"/>
        <color rgb="FF212121"/>
        <rFont val="Calibri"/>
        <family val="2"/>
        <scheme val="minor"/>
      </rPr>
      <t>ESAB India Limited</t>
    </r>
    <r>
      <rPr>
        <sz val="12"/>
        <color rgb="FF212121"/>
        <rFont val="Calibri"/>
        <family val="2"/>
        <scheme val="minor"/>
      </rPr>
      <t xml:space="preserve"> </t>
    </r>
    <r>
      <rPr>
        <sz val="11"/>
        <color rgb="FF212121"/>
        <rFont val="Calibri"/>
        <family val="2"/>
        <scheme val="minor"/>
      </rPr>
      <t xml:space="preserve"> E 6013 - ESAB SW 6013 - 4.00x450MM- RS.2250.00 CASE [6 PKTS/ 330 PCS].</t>
    </r>
  </si>
  <si>
    <r>
      <rPr>
        <b/>
        <sz val="12"/>
        <color rgb="FF212121"/>
        <rFont val="Calibri"/>
        <family val="2"/>
        <scheme val="minor"/>
      </rPr>
      <t xml:space="preserve"> ESAB India Limited</t>
    </r>
    <r>
      <rPr>
        <sz val="12"/>
        <color rgb="FF212121"/>
        <rFont val="Calibri"/>
        <family val="2"/>
        <scheme val="minor"/>
      </rPr>
      <t xml:space="preserve"> </t>
    </r>
    <r>
      <rPr>
        <sz val="11"/>
        <color rgb="FF212121"/>
        <rFont val="Calibri"/>
        <family val="2"/>
        <scheme val="minor"/>
      </rPr>
      <t xml:space="preserve"> E 7018 - ESAB XPERT 7018- 4.00x450MM- RS.2600.00 CASE [4 PKTS/ 260 PCS].</t>
    </r>
  </si>
  <si>
    <t>5 liters CAN</t>
  </si>
  <si>
    <t xml:space="preserve">Qty mtr &amp; Liters </t>
  </si>
  <si>
    <t xml:space="preserve"> Visakhapatnam.</t>
  </si>
  <si>
    <t xml:space="preserve">AP DEALER </t>
  </si>
  <si>
    <t>Srikakulam</t>
  </si>
  <si>
    <t xml:space="preserve">        </t>
  </si>
  <si>
    <t xml:space="preserve"> </t>
  </si>
  <si>
    <t xml:space="preserve">CHINTAMANI TRADERS - SOMPETA </t>
  </si>
  <si>
    <t>HYDARABAD - DEALER</t>
  </si>
  <si>
    <t xml:space="preserve">SRIKAKULAM- DEALER </t>
  </si>
  <si>
    <t>Total with Tax</t>
  </si>
  <si>
    <t>MS Bolts  MASTER SUPPLIER QUOTATION COMPARISON SHEET - KRISHI INFRATECH</t>
  </si>
  <si>
    <t>M12 x 50 Hex Bolt, MS  with Nut Double Washer</t>
  </si>
  <si>
    <t xml:space="preserve">Qty </t>
  </si>
  <si>
    <t>location</t>
  </si>
  <si>
    <t>Vijayanagaram</t>
  </si>
  <si>
    <t xml:space="preserve"> 70750 77706</t>
  </si>
  <si>
    <t>FINALIZED THE QUOTATIONS</t>
  </si>
  <si>
    <t xml:space="preserve">  APROVED </t>
  </si>
  <si>
    <t xml:space="preserve"> APROVED </t>
  </si>
  <si>
    <t>APROVED</t>
  </si>
  <si>
    <t xml:space="preserve">Aproved </t>
  </si>
  <si>
    <t>FINALIZED THE QUOTATIOS</t>
  </si>
  <si>
    <t xml:space="preserve">APROVED </t>
  </si>
  <si>
    <t xml:space="preserve">4" &amp; 7" cutting wheels Total </t>
  </si>
  <si>
    <t xml:space="preserve">4" &amp; 7" Grinding wheels Total </t>
  </si>
  <si>
    <t xml:space="preserve">Total For Foam sheet &amp; bentonite Powder &amp;gum&amp; 4" &amp; 7" cutting wheels Ms Bolts &amp; Nuts </t>
  </si>
  <si>
    <r>
      <t xml:space="preserve">4" GRAINDING WHEELS </t>
    </r>
    <r>
      <rPr>
        <b/>
        <sz val="11"/>
        <color theme="1"/>
        <rFont val="Calibri"/>
        <family val="2"/>
        <scheme val="minor"/>
      </rPr>
      <t>"BOSCH"</t>
    </r>
  </si>
  <si>
    <t>SAMS Engineering Enterprises</t>
  </si>
  <si>
    <t>Lahari Enterprices</t>
  </si>
  <si>
    <t xml:space="preserve">Unit Rate (For Piece) </t>
  </si>
  <si>
    <t>4" &amp; 7" Cutting &amp; Grinding  wheels Total</t>
  </si>
  <si>
    <t>2. SA ENGINEERING, Hydarabad,6281068801</t>
  </si>
  <si>
    <t>1. ALTECH CONSTRUCTION EQUIPMENTS,Hydarabad,9985097685</t>
  </si>
  <si>
    <t>"HIKOKI" GRINDING WHEEL (4")(C414033AZ) 100X4X16MM (796204)</t>
  </si>
  <si>
    <t>"HIKOKI" GRINDING WHEEL 7" (180 X 6 X 22) (796264)</t>
  </si>
  <si>
    <t>4" CUTTING WHEELS "BOSCH"</t>
  </si>
  <si>
    <t>7" CUTTING WHEELS "BOSCH"</t>
  </si>
  <si>
    <t>Column1</t>
  </si>
  <si>
    <t>Column2</t>
  </si>
  <si>
    <t>Column3</t>
  </si>
  <si>
    <t>Column4</t>
  </si>
  <si>
    <t>Column5</t>
  </si>
  <si>
    <t>Column6</t>
  </si>
  <si>
    <t>Column7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</si>
</sst>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₹#,##0.00"/>
  </numFmts>
  <fonts count="6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4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rgb="FFFFFFFF"/>
      <name val="Segoe UI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name val="Segoe UI"/>
      <family val="2"/>
    </font>
    <font>
      <sz val="11"/>
      <name val="Segoe UI"/>
      <family val="2"/>
    </font>
    <font>
      <sz val="11"/>
      <color theme="9"/>
      <name val="Segoe UI"/>
      <family val="2"/>
    </font>
    <font>
      <b/>
      <sz val="9"/>
      <name val="Segoe UI"/>
      <family val="2"/>
    </font>
    <font>
      <b/>
      <sz val="11"/>
      <name val="Segoe UI"/>
      <family val="2"/>
    </font>
    <font>
      <sz val="11"/>
      <color rgb="FF0A0A0A"/>
      <name val="Inherit"/>
    </font>
    <font>
      <sz val="11"/>
      <color theme="3"/>
      <name val="Segoe UI"/>
      <family val="2"/>
    </font>
    <font>
      <sz val="11"/>
      <color theme="4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color theme="4"/>
      <name val="Segoe UI"/>
      <family val="2"/>
    </font>
    <font>
      <sz val="11"/>
      <color rgb="FF000000"/>
      <name val="Calibri"/>
      <family val="2"/>
      <scheme val="minor"/>
    </font>
    <font>
      <b/>
      <sz val="12"/>
      <color rgb="FF4472C4"/>
      <name val="Calibri"/>
      <family val="2"/>
      <scheme val="minor"/>
    </font>
    <font>
      <sz val="11"/>
      <color rgb="FF000000"/>
      <name val="Segoe UI"/>
      <family val="2"/>
    </font>
    <font>
      <b/>
      <sz val="11"/>
      <color rgb="FF000000"/>
      <name val="Segoe UI"/>
      <family val="2"/>
    </font>
    <font>
      <sz val="10"/>
      <color rgb="FF70AD47"/>
      <name val="Palatino Linotype"/>
      <family val="1"/>
    </font>
    <font>
      <b/>
      <sz val="10"/>
      <color rgb="FF70AD47"/>
      <name val="Palatino Linotype"/>
      <family val="1"/>
    </font>
    <font>
      <sz val="9"/>
      <color rgb="FF70AD47"/>
      <name val="Segoe UI"/>
      <family val="2"/>
    </font>
    <font>
      <sz val="11"/>
      <color rgb="FF70AD47"/>
      <name val="Segoe UI"/>
      <family val="2"/>
    </font>
    <font>
      <sz val="11"/>
      <color rgb="FF70AD47"/>
      <name val="Calibri"/>
      <family val="2"/>
      <scheme val="minor"/>
    </font>
    <font>
      <b/>
      <sz val="9"/>
      <color rgb="FF70AD47"/>
      <name val="Segoe UI"/>
      <family val="2"/>
    </font>
    <font>
      <b/>
      <sz val="11"/>
      <color rgb="FF70AD47"/>
      <name val="Segoe UI"/>
      <family val="2"/>
    </font>
    <font>
      <b/>
      <sz val="10"/>
      <color rgb="FF44546A"/>
      <name val="Palatino Linotype"/>
      <family val="1"/>
    </font>
    <font>
      <sz val="10"/>
      <name val="Palatino Linotype"/>
      <family val="1"/>
    </font>
    <font>
      <b/>
      <sz val="10"/>
      <name val="Palatino Linotype"/>
      <family val="1"/>
    </font>
    <font>
      <sz val="11"/>
      <color rgb="FF000000"/>
      <name val="Arial"/>
      <family val="2"/>
    </font>
    <font>
      <sz val="10"/>
      <color rgb="FF4472C4"/>
      <name val="Palatino Linotype"/>
      <family val="1"/>
    </font>
    <font>
      <b/>
      <sz val="10"/>
      <color rgb="FF4472C4"/>
      <name val="Palatino Linotype"/>
      <family val="1"/>
    </font>
    <font>
      <sz val="9"/>
      <color rgb="FF4472C4"/>
      <name val="Segoe UI"/>
      <family val="2"/>
    </font>
    <font>
      <sz val="11"/>
      <color rgb="FF4472C4"/>
      <name val="Segoe UI"/>
      <family val="2"/>
    </font>
    <font>
      <sz val="11"/>
      <color rgb="FFFFC000"/>
      <name val="Segoe UI"/>
      <family val="2"/>
    </font>
    <font>
      <sz val="11"/>
      <color rgb="FF4472C4"/>
      <name val="Calibri"/>
      <family val="2"/>
      <scheme val="minor"/>
    </font>
    <font>
      <sz val="11"/>
      <color rgb="FFFFC000"/>
      <name val="Calibri"/>
      <family val="2"/>
      <scheme val="minor"/>
    </font>
    <font>
      <b/>
      <sz val="11"/>
      <color rgb="FF4472C4"/>
      <name val="Segoe UI"/>
      <family val="2"/>
    </font>
    <font>
      <b/>
      <sz val="9"/>
      <color rgb="FF4472C4"/>
      <name val="Segoe UI"/>
      <family val="2"/>
    </font>
    <font>
      <b/>
      <sz val="11"/>
      <name val="Palatino Linotype"/>
      <family val="1"/>
    </font>
    <font>
      <b/>
      <sz val="11"/>
      <color rgb="FF000000"/>
      <name val="Calibri"/>
      <family val="2"/>
      <scheme val="minor"/>
    </font>
    <font>
      <b/>
      <sz val="14"/>
      <color rgb="FFFFFFFF"/>
      <name val="Calibri"/>
      <family val="2"/>
    </font>
    <font>
      <b/>
      <sz val="11"/>
      <name val="Calibri"/>
      <family val="2"/>
    </font>
    <font>
      <b/>
      <sz val="12"/>
      <color theme="4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6"/>
      <color rgb="FFFFFFFF"/>
      <name val="Calibri"/>
      <family val="2"/>
    </font>
    <font>
      <b/>
      <sz val="12"/>
      <color rgb="FF1F497D"/>
      <name val="Calibri"/>
      <family val="2"/>
    </font>
    <font>
      <b/>
      <sz val="11"/>
      <color rgb="FFFFFFFF"/>
      <name val="Calibri"/>
      <family val="2"/>
    </font>
    <font>
      <i/>
      <sz val="9"/>
      <color rgb="FF595959"/>
      <name val="Calibri"/>
      <family val="2"/>
    </font>
    <font>
      <b/>
      <sz val="12"/>
      <color rgb="FF1F497D"/>
      <name val="Calibri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12121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212121"/>
      <name val="Calibri"/>
      <family val="2"/>
      <scheme val="minor"/>
    </font>
    <font>
      <sz val="12"/>
      <color rgb="FF212121"/>
      <name val="Calibri"/>
      <family val="2"/>
      <scheme val="minor"/>
    </font>
    <font>
      <b/>
      <sz val="12"/>
      <color rgb="FF4472C4"/>
      <name val="Palatino Linotype"/>
      <family val="1"/>
    </font>
    <font>
      <b/>
      <sz val="12"/>
      <color rgb="FF00000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0"/>
      <color theme="4"/>
      <name val="Palatino Linotype"/>
      <family val="1"/>
    </font>
    <font>
      <b/>
      <sz val="11"/>
      <color theme="4"/>
      <name val="Segoe UI"/>
      <family val="2"/>
    </font>
  </fonts>
  <fills count="2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1F497D"/>
        <bgColor rgb="FF1F497D"/>
      </patternFill>
    </fill>
    <fill>
      <patternFill patternType="solid">
        <fgColor theme="0"/>
        <bgColor rgb="FF1F497D"/>
      </patternFill>
    </fill>
    <fill>
      <patternFill patternType="solid">
        <fgColor theme="7" tint="0.59999389629810485"/>
        <bgColor rgb="FF1F497D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FF"/>
        <bgColor rgb="FF1F497D"/>
      </patternFill>
    </fill>
    <fill>
      <patternFill patternType="solid">
        <fgColor rgb="FFFFFF00"/>
        <bgColor rgb="FF1F497D"/>
      </patternFill>
    </fill>
    <fill>
      <patternFill patternType="solid">
        <fgColor rgb="FFFFFF00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1B365D"/>
        <bgColor rgb="FF1B365D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2F5597"/>
        <bgColor rgb="FF2F5597"/>
      </patternFill>
    </fill>
    <fill>
      <patternFill patternType="solid">
        <fgColor rgb="FFD9E1F2"/>
        <bgColor rgb="FFD9E1F2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6" fillId="0" borderId="0" applyNumberFormat="0" applyFill="0" applyBorder="0" applyAlignment="0" applyProtection="0"/>
  </cellStyleXfs>
  <cellXfs count="196">
    <xf numFmtId="0" fontId="0" fillId="0" borderId="0" xfId="0"/>
    <xf numFmtId="0" fontId="4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9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10" fillId="0" borderId="1" xfId="0" applyNumberFormat="1" applyFont="1" applyBorder="1" applyAlignment="1">
      <alignment horizontal="center" vertical="center"/>
    </xf>
    <xf numFmtId="4" fontId="11" fillId="0" borderId="1" xfId="0" applyNumberFormat="1" applyFont="1" applyBorder="1" applyAlignment="1">
      <alignment horizontal="center" vertical="center"/>
    </xf>
    <xf numFmtId="4" fontId="10" fillId="0" borderId="1" xfId="0" applyNumberFormat="1" applyFont="1" applyBorder="1" applyAlignment="1">
      <alignment horizontal="center" vertical="center"/>
    </xf>
    <xf numFmtId="4" fontId="10" fillId="0" borderId="1" xfId="0" applyNumberFormat="1" applyFont="1" applyBorder="1" applyAlignment="1">
      <alignment horizontal="center" vertical="center" wrapText="1"/>
    </xf>
    <xf numFmtId="3" fontId="13" fillId="0" borderId="1" xfId="0" applyNumberFormat="1" applyFont="1" applyBorder="1" applyAlignment="1">
      <alignment horizontal="center" vertical="center"/>
    </xf>
    <xf numFmtId="4" fontId="13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10" fillId="0" borderId="1" xfId="0" applyFont="1" applyBorder="1" applyAlignment="1">
      <alignment horizontal="center" vertical="center"/>
    </xf>
    <xf numFmtId="4" fontId="15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6" fillId="0" borderId="1" xfId="0" applyFont="1" applyBorder="1" applyAlignment="1">
      <alignment wrapText="1"/>
    </xf>
    <xf numFmtId="0" fontId="16" fillId="0" borderId="1" xfId="0" applyFont="1" applyBorder="1" applyAlignment="1">
      <alignment horizontal="center" vertical="center"/>
    </xf>
    <xf numFmtId="3" fontId="18" fillId="0" borderId="1" xfId="0" applyNumberFormat="1" applyFont="1" applyBorder="1" applyAlignment="1">
      <alignment horizontal="center" vertical="center"/>
    </xf>
    <xf numFmtId="4" fontId="18" fillId="0" borderId="1" xfId="0" applyNumberFormat="1" applyFont="1" applyBorder="1" applyAlignment="1">
      <alignment horizontal="center" vertical="center"/>
    </xf>
    <xf numFmtId="4" fontId="18" fillId="0" borderId="1" xfId="0" applyNumberFormat="1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4" fontId="1" fillId="0" borderId="1" xfId="0" applyNumberFormat="1" applyFont="1" applyBorder="1" applyAlignment="1">
      <alignment horizontal="center" vertical="center"/>
    </xf>
    <xf numFmtId="0" fontId="19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 vertical="center"/>
    </xf>
    <xf numFmtId="0" fontId="1" fillId="0" borderId="1" xfId="0" applyFont="1" applyBorder="1"/>
    <xf numFmtId="0" fontId="0" fillId="0" borderId="1" xfId="0" applyBorder="1" applyAlignment="1">
      <alignment horizontal="left" vertical="center" wrapText="1"/>
    </xf>
    <xf numFmtId="0" fontId="52" fillId="15" borderId="0" xfId="0" applyFont="1" applyFill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164" fontId="0" fillId="0" borderId="3" xfId="0" applyNumberFormat="1" applyBorder="1" applyAlignment="1">
      <alignment horizontal="right" vertical="center"/>
    </xf>
    <xf numFmtId="0" fontId="46" fillId="0" borderId="0" xfId="0" applyFont="1"/>
    <xf numFmtId="164" fontId="46" fillId="0" borderId="0" xfId="0" applyNumberFormat="1" applyFont="1" applyAlignment="1">
      <alignment horizontal="right" vertical="center"/>
    </xf>
    <xf numFmtId="164" fontId="46" fillId="16" borderId="4" xfId="0" applyNumberFormat="1" applyFont="1" applyFill="1" applyBorder="1" applyAlignment="1">
      <alignment horizontal="right" vertical="center"/>
    </xf>
    <xf numFmtId="0" fontId="53" fillId="0" borderId="0" xfId="0" applyFont="1"/>
    <xf numFmtId="0" fontId="53" fillId="0" borderId="0" xfId="0" applyFont="1" applyAlignment="1">
      <alignment wrapText="1"/>
    </xf>
    <xf numFmtId="0" fontId="0" fillId="0" borderId="3" xfId="0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7" fillId="0" borderId="1" xfId="0" applyFont="1" applyBorder="1" applyAlignment="1">
      <alignment wrapText="1"/>
    </xf>
    <xf numFmtId="0" fontId="19" fillId="0" borderId="1" xfId="0" applyFont="1" applyBorder="1" applyAlignment="1">
      <alignment horizontal="center" vertical="center"/>
    </xf>
    <xf numFmtId="0" fontId="63" fillId="2" borderId="1" xfId="1" applyFont="1" applyFill="1" applyBorder="1" applyAlignment="1">
      <alignment horizontal="center" vertical="center"/>
    </xf>
    <xf numFmtId="0" fontId="55" fillId="2" borderId="1" xfId="0" applyFont="1" applyFill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18" borderId="1" xfId="0" applyFill="1" applyBorder="1" applyAlignment="1">
      <alignment horizontal="center"/>
    </xf>
    <xf numFmtId="0" fontId="0" fillId="18" borderId="1" xfId="0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 wrapText="1"/>
    </xf>
    <xf numFmtId="3" fontId="10" fillId="0" borderId="1" xfId="0" applyNumberFormat="1" applyFont="1" applyBorder="1" applyAlignment="1">
      <alignment horizontal="center"/>
    </xf>
    <xf numFmtId="4" fontId="10" fillId="0" borderId="1" xfId="0" applyNumberFormat="1" applyFont="1" applyBorder="1"/>
    <xf numFmtId="4" fontId="10" fillId="0" borderId="1" xfId="0" applyNumberFormat="1" applyFont="1" applyBorder="1" applyAlignment="1">
      <alignment horizontal="center"/>
    </xf>
    <xf numFmtId="4" fontId="10" fillId="0" borderId="1" xfId="0" applyNumberFormat="1" applyFont="1" applyBorder="1" applyAlignment="1">
      <alignment horizontal="left"/>
    </xf>
    <xf numFmtId="0" fontId="33" fillId="0" borderId="1" xfId="0" applyFont="1" applyBorder="1" applyAlignment="1">
      <alignment horizontal="center" vertical="center"/>
    </xf>
    <xf numFmtId="0" fontId="35" fillId="0" borderId="1" xfId="0" applyFont="1" applyBorder="1" applyAlignment="1">
      <alignment horizontal="left" vertical="center" wrapText="1"/>
    </xf>
    <xf numFmtId="0" fontId="36" fillId="0" borderId="1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3" fontId="37" fillId="0" borderId="1" xfId="0" applyNumberFormat="1" applyFont="1" applyBorder="1" applyAlignment="1">
      <alignment horizontal="center" vertical="center"/>
    </xf>
    <xf numFmtId="4" fontId="37" fillId="0" borderId="1" xfId="0" applyNumberFormat="1" applyFont="1" applyBorder="1" applyAlignment="1">
      <alignment horizontal="center" vertical="center"/>
    </xf>
    <xf numFmtId="4" fontId="37" fillId="0" borderId="1" xfId="0" applyNumberFormat="1" applyFont="1" applyBorder="1" applyAlignment="1">
      <alignment horizontal="center" vertical="center" wrapText="1"/>
    </xf>
    <xf numFmtId="0" fontId="40" fillId="0" borderId="1" xfId="0" applyFont="1" applyBorder="1" applyAlignment="1">
      <alignment horizontal="center" vertical="center" wrapText="1"/>
    </xf>
    <xf numFmtId="0" fontId="34" fillId="0" borderId="1" xfId="0" applyFont="1" applyBorder="1" applyAlignment="1">
      <alignment horizontal="left" vertical="center" wrapText="1"/>
    </xf>
    <xf numFmtId="4" fontId="41" fillId="0" borderId="1" xfId="0" applyNumberFormat="1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 wrapText="1"/>
    </xf>
    <xf numFmtId="0" fontId="42" fillId="0" borderId="1" xfId="0" applyFont="1" applyBorder="1" applyAlignment="1">
      <alignment horizontal="center" vertical="center"/>
    </xf>
    <xf numFmtId="3" fontId="41" fillId="0" borderId="1" xfId="0" applyNumberFormat="1" applyFont="1" applyBorder="1" applyAlignment="1">
      <alignment horizontal="center" vertical="center"/>
    </xf>
    <xf numFmtId="4" fontId="37" fillId="0" borderId="1" xfId="0" applyNumberFormat="1" applyFont="1" applyBorder="1" applyAlignment="1">
      <alignment horizontal="right" vertical="center" wrapText="1"/>
    </xf>
    <xf numFmtId="0" fontId="39" fillId="0" borderId="1" xfId="0" applyFont="1" applyBorder="1" applyAlignment="1">
      <alignment vertical="center" wrapText="1"/>
    </xf>
    <xf numFmtId="0" fontId="32" fillId="11" borderId="1" xfId="0" applyFont="1" applyFill="1" applyBorder="1" applyAlignment="1">
      <alignment horizontal="left" wrapText="1"/>
    </xf>
    <xf numFmtId="0" fontId="9" fillId="11" borderId="1" xfId="0" applyFont="1" applyFill="1" applyBorder="1" applyAlignment="1">
      <alignment horizontal="center" vertical="center"/>
    </xf>
    <xf numFmtId="0" fontId="10" fillId="11" borderId="1" xfId="0" applyFont="1" applyFill="1" applyBorder="1" applyAlignment="1">
      <alignment horizontal="center" vertical="center"/>
    </xf>
    <xf numFmtId="3" fontId="10" fillId="11" borderId="1" xfId="0" applyNumberFormat="1" applyFont="1" applyFill="1" applyBorder="1" applyAlignment="1">
      <alignment horizontal="center" vertical="center"/>
    </xf>
    <xf numFmtId="4" fontId="10" fillId="11" borderId="1" xfId="0" applyNumberFormat="1" applyFont="1" applyFill="1" applyBorder="1" applyAlignment="1">
      <alignment horizontal="center" vertical="center"/>
    </xf>
    <xf numFmtId="0" fontId="19" fillId="11" borderId="1" xfId="0" applyFont="1" applyFill="1" applyBorder="1" applyAlignment="1">
      <alignment horizontal="center" vertical="center"/>
    </xf>
    <xf numFmtId="0" fontId="31" fillId="7" borderId="1" xfId="0" applyFont="1" applyFill="1" applyBorder="1" applyAlignment="1">
      <alignment horizontal="left" wrapText="1"/>
    </xf>
    <xf numFmtId="0" fontId="9" fillId="7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4" fontId="13" fillId="7" borderId="1" xfId="0" applyNumberFormat="1" applyFont="1" applyFill="1" applyBorder="1" applyAlignment="1">
      <alignment horizontal="center" vertical="center"/>
    </xf>
    <xf numFmtId="4" fontId="10" fillId="7" borderId="1" xfId="0" applyNumberFormat="1" applyFont="1" applyFill="1" applyBorder="1" applyAlignment="1">
      <alignment horizontal="center" vertical="center"/>
    </xf>
    <xf numFmtId="0" fontId="19" fillId="7" borderId="1" xfId="0" applyFont="1" applyFill="1" applyBorder="1" applyAlignment="1">
      <alignment horizontal="center" vertical="center"/>
    </xf>
    <xf numFmtId="0" fontId="19" fillId="0" borderId="1" xfId="0" applyFont="1" applyBorder="1"/>
    <xf numFmtId="0" fontId="10" fillId="7" borderId="1" xfId="0" applyFont="1" applyFill="1" applyBorder="1" applyAlignment="1">
      <alignment vertical="center"/>
    </xf>
    <xf numFmtId="3" fontId="10" fillId="7" borderId="1" xfId="0" applyNumberFormat="1" applyFont="1" applyFill="1" applyBorder="1" applyAlignment="1">
      <alignment vertical="center"/>
    </xf>
    <xf numFmtId="4" fontId="10" fillId="7" borderId="1" xfId="0" applyNumberFormat="1" applyFont="1" applyFill="1" applyBorder="1" applyAlignment="1">
      <alignment vertical="center"/>
    </xf>
    <xf numFmtId="4" fontId="10" fillId="7" borderId="1" xfId="0" applyNumberFormat="1" applyFont="1" applyFill="1" applyBorder="1" applyAlignment="1">
      <alignment horizontal="left" vertical="center"/>
    </xf>
    <xf numFmtId="0" fontId="19" fillId="7" borderId="1" xfId="0" applyFont="1" applyFill="1" applyBorder="1" applyAlignment="1">
      <alignment vertical="center"/>
    </xf>
    <xf numFmtId="0" fontId="4" fillId="8" borderId="1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left" wrapText="1"/>
    </xf>
    <xf numFmtId="0" fontId="25" fillId="0" borderId="1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3" fontId="26" fillId="0" borderId="1" xfId="0" applyNumberFormat="1" applyFont="1" applyBorder="1" applyAlignment="1">
      <alignment horizontal="center" vertical="center"/>
    </xf>
    <xf numFmtId="4" fontId="26" fillId="0" borderId="1" xfId="0" applyNumberFormat="1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left" wrapText="1"/>
    </xf>
    <xf numFmtId="3" fontId="29" fillId="0" borderId="1" xfId="0" applyNumberFormat="1" applyFont="1" applyBorder="1" applyAlignment="1">
      <alignment horizontal="center" vertical="center"/>
    </xf>
    <xf numFmtId="4" fontId="29" fillId="0" borderId="1" xfId="0" applyNumberFormat="1" applyFont="1" applyBorder="1" applyAlignment="1">
      <alignment horizontal="center" vertical="center"/>
    </xf>
    <xf numFmtId="0" fontId="32" fillId="0" borderId="1" xfId="0" applyFont="1" applyBorder="1" applyAlignment="1">
      <alignment horizontal="left" wrapText="1"/>
    </xf>
    <xf numFmtId="0" fontId="31" fillId="0" borderId="1" xfId="0" applyFont="1" applyBorder="1" applyAlignment="1">
      <alignment horizontal="left" wrapText="1"/>
    </xf>
    <xf numFmtId="4" fontId="10" fillId="0" borderId="1" xfId="0" applyNumberFormat="1" applyFont="1" applyBorder="1" applyAlignment="1">
      <alignment horizontal="right"/>
    </xf>
    <xf numFmtId="0" fontId="19" fillId="0" borderId="1" xfId="0" applyFont="1" applyBorder="1" applyAlignment="1">
      <alignment horizontal="right"/>
    </xf>
    <xf numFmtId="0" fontId="19" fillId="0" borderId="1" xfId="0" applyFont="1" applyBorder="1" applyAlignment="1">
      <alignment vertical="center"/>
    </xf>
    <xf numFmtId="0" fontId="44" fillId="0" borderId="1" xfId="0" applyFont="1" applyBorder="1" applyAlignment="1">
      <alignment vertical="center"/>
    </xf>
    <xf numFmtId="4" fontId="62" fillId="0" borderId="1" xfId="0" applyNumberFormat="1" applyFont="1" applyBorder="1" applyAlignment="1">
      <alignment horizontal="center" vertical="center"/>
    </xf>
    <xf numFmtId="0" fontId="55" fillId="2" borderId="1" xfId="0" applyFont="1" applyFill="1" applyBorder="1" applyAlignment="1">
      <alignment horizontal="right"/>
    </xf>
    <xf numFmtId="3" fontId="26" fillId="0" borderId="1" xfId="0" applyNumberFormat="1" applyFont="1" applyBorder="1" applyAlignment="1">
      <alignment horizontal="center"/>
    </xf>
    <xf numFmtId="4" fontId="26" fillId="0" borderId="1" xfId="0" applyNumberFormat="1" applyFont="1" applyBorder="1" applyAlignment="1">
      <alignment horizontal="center"/>
    </xf>
    <xf numFmtId="4" fontId="26" fillId="0" borderId="1" xfId="0" applyNumberFormat="1" applyFont="1" applyBorder="1" applyAlignment="1">
      <alignment horizontal="right"/>
    </xf>
    <xf numFmtId="0" fontId="27" fillId="0" borderId="1" xfId="0" applyFont="1" applyBorder="1" applyAlignment="1">
      <alignment horizontal="right"/>
    </xf>
    <xf numFmtId="0" fontId="33" fillId="0" borderId="1" xfId="0" applyFont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/>
    </xf>
    <xf numFmtId="4" fontId="13" fillId="19" borderId="1" xfId="0" applyNumberFormat="1" applyFont="1" applyFill="1" applyBorder="1" applyAlignment="1">
      <alignment horizontal="center" vertical="center"/>
    </xf>
    <xf numFmtId="4" fontId="1" fillId="19" borderId="0" xfId="0" applyNumberFormat="1" applyFont="1" applyFill="1"/>
    <xf numFmtId="0" fontId="19" fillId="0" borderId="1" xfId="0" applyFont="1" applyBorder="1" applyAlignment="1">
      <alignment wrapText="1"/>
    </xf>
    <xf numFmtId="4" fontId="7" fillId="0" borderId="0" xfId="0" applyNumberFormat="1" applyFont="1"/>
    <xf numFmtId="4" fontId="13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4" fontId="13" fillId="2" borderId="1" xfId="0" applyNumberFormat="1" applyFont="1" applyFill="1" applyBorder="1" applyAlignment="1">
      <alignment horizontal="center" vertical="center"/>
    </xf>
    <xf numFmtId="0" fontId="46" fillId="2" borderId="1" xfId="0" applyFont="1" applyFill="1" applyBorder="1" applyAlignment="1">
      <alignment horizontal="center" vertical="center"/>
    </xf>
    <xf numFmtId="0" fontId="65" fillId="2" borderId="1" xfId="0" applyFont="1" applyFill="1" applyBorder="1" applyAlignment="1">
      <alignment horizontal="center" vertical="center"/>
    </xf>
    <xf numFmtId="0" fontId="64" fillId="2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6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46" fillId="2" borderId="0" xfId="0" applyFont="1" applyFill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" fillId="6" borderId="1" xfId="0" applyFont="1" applyFill="1" applyBorder="1" applyAlignment="1">
      <alignment horizontal="center"/>
    </xf>
    <xf numFmtId="0" fontId="1" fillId="19" borderId="0" xfId="0" applyFont="1" applyFill="1" applyAlignment="1">
      <alignment horizontal="center"/>
    </xf>
    <xf numFmtId="0" fontId="13" fillId="0" borderId="1" xfId="0" applyFont="1" applyBorder="1" applyAlignment="1">
      <alignment horizontal="center" vertical="center"/>
    </xf>
    <xf numFmtId="0" fontId="41" fillId="0" borderId="1" xfId="0" applyFont="1" applyBorder="1" applyAlignment="1">
      <alignment horizontal="center" vertical="center"/>
    </xf>
    <xf numFmtId="0" fontId="43" fillId="10" borderId="1" xfId="0" applyFont="1" applyFill="1" applyBorder="1" applyAlignment="1">
      <alignment horizontal="center" vertical="center" wrapText="1"/>
    </xf>
    <xf numFmtId="0" fontId="61" fillId="10" borderId="1" xfId="0" applyFont="1" applyFill="1" applyBorder="1" applyAlignment="1">
      <alignment horizontal="center" vertical="center" wrapText="1"/>
    </xf>
    <xf numFmtId="3" fontId="13" fillId="7" borderId="1" xfId="0" applyNumberFormat="1" applyFont="1" applyFill="1" applyBorder="1" applyAlignment="1">
      <alignment horizontal="center" vertical="center"/>
    </xf>
    <xf numFmtId="0" fontId="32" fillId="10" borderId="1" xfId="0" applyFont="1" applyFill="1" applyBorder="1" applyAlignment="1">
      <alignment horizontal="center" wrapText="1"/>
    </xf>
    <xf numFmtId="0" fontId="31" fillId="10" borderId="1" xfId="0" applyFont="1" applyFill="1" applyBorder="1" applyAlignment="1">
      <alignment horizontal="center" wrapText="1"/>
    </xf>
    <xf numFmtId="0" fontId="31" fillId="10" borderId="1" xfId="0" applyFont="1" applyFill="1" applyBorder="1" applyAlignment="1">
      <alignment horizontal="center" vertical="center" wrapText="1"/>
    </xf>
    <xf numFmtId="0" fontId="22" fillId="9" borderId="1" xfId="0" applyFont="1" applyFill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/>
    </xf>
    <xf numFmtId="0" fontId="30" fillId="10" borderId="1" xfId="0" applyFont="1" applyFill="1" applyBorder="1" applyAlignment="1">
      <alignment horizontal="center" wrapText="1"/>
    </xf>
    <xf numFmtId="0" fontId="1" fillId="14" borderId="1" xfId="0" applyFont="1" applyFill="1" applyBorder="1" applyAlignment="1">
      <alignment horizontal="center"/>
    </xf>
    <xf numFmtId="0" fontId="51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17" fillId="0" borderId="1" xfId="0" applyFont="1" applyBorder="1" applyAlignment="1">
      <alignment wrapText="1"/>
    </xf>
    <xf numFmtId="0" fontId="66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3" fontId="67" fillId="0" borderId="1" xfId="0" applyNumberFormat="1" applyFont="1" applyBorder="1" applyAlignment="1">
      <alignment horizontal="center" vertical="center"/>
    </xf>
    <xf numFmtId="4" fontId="67" fillId="0" borderId="1" xfId="0" applyNumberFormat="1" applyFont="1" applyBorder="1" applyAlignment="1">
      <alignment horizontal="center" vertical="center"/>
    </xf>
    <xf numFmtId="4" fontId="67" fillId="0" borderId="1" xfId="0" applyNumberFormat="1" applyFont="1" applyBorder="1" applyAlignment="1">
      <alignment horizontal="center" vertical="center" wrapText="1"/>
    </xf>
    <xf numFmtId="0" fontId="67" fillId="0" borderId="1" xfId="0" applyFont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10" xfId="0" applyBorder="1"/>
    <xf numFmtId="0" fontId="7" fillId="0" borderId="8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46" fillId="17" borderId="9" xfId="0" applyFont="1" applyFill="1" applyBorder="1" applyAlignment="1">
      <alignment horizontal="center" vertical="center"/>
    </xf>
    <xf numFmtId="0" fontId="65" fillId="17" borderId="9" xfId="0" applyFont="1" applyFill="1" applyBorder="1" applyAlignment="1">
      <alignment horizontal="center" vertical="center"/>
    </xf>
    <xf numFmtId="0" fontId="64" fillId="17" borderId="9" xfId="0" applyFont="1" applyFill="1" applyBorder="1" applyAlignment="1">
      <alignment horizontal="center" vertical="center"/>
    </xf>
    <xf numFmtId="0" fontId="64" fillId="17" borderId="9" xfId="0" applyFont="1" applyFill="1" applyBorder="1" applyAlignment="1">
      <alignment horizontal="center" vertical="center" wrapText="1"/>
    </xf>
    <xf numFmtId="0" fontId="0" fillId="17" borderId="9" xfId="0" applyFill="1" applyBorder="1"/>
    <xf numFmtId="0" fontId="4" fillId="3" borderId="7" xfId="0" applyFont="1" applyFill="1" applyBorder="1" applyAlignment="1">
      <alignment horizontal="center" vertical="center" wrapText="1"/>
    </xf>
    <xf numFmtId="0" fontId="1" fillId="14" borderId="7" xfId="0" applyFont="1" applyFill="1" applyBorder="1" applyAlignment="1">
      <alignment horizontal="center"/>
    </xf>
    <xf numFmtId="0" fontId="46" fillId="13" borderId="9" xfId="0" applyFont="1" applyFill="1" applyBorder="1" applyAlignment="1">
      <alignment horizontal="center" vertical="center"/>
    </xf>
    <xf numFmtId="0" fontId="64" fillId="13" borderId="9" xfId="0" applyFont="1" applyFill="1" applyBorder="1" applyAlignment="1">
      <alignment horizontal="center" vertical="center" wrapText="1"/>
    </xf>
    <xf numFmtId="0" fontId="46" fillId="13" borderId="9" xfId="0" applyFont="1" applyFill="1" applyBorder="1" applyAlignment="1">
      <alignment horizontal="center" vertical="center" wrapText="1"/>
    </xf>
    <xf numFmtId="0" fontId="21" fillId="8" borderId="7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1" fillId="18" borderId="8" xfId="0" applyFont="1" applyFill="1" applyBorder="1" applyAlignment="1">
      <alignment horizontal="center" vertical="center"/>
    </xf>
    <xf numFmtId="0" fontId="21" fillId="8" borderId="6" xfId="0" applyFont="1" applyFill="1" applyBorder="1" applyAlignment="1">
      <alignment horizontal="center" vertical="center" wrapText="1"/>
    </xf>
    <xf numFmtId="0" fontId="19" fillId="0" borderId="5" xfId="0" applyFont="1" applyBorder="1"/>
    <xf numFmtId="0" fontId="19" fillId="0" borderId="5" xfId="0" applyFont="1" applyBorder="1" applyAlignment="1">
      <alignment horizontal="center" vertical="center"/>
    </xf>
    <xf numFmtId="0" fontId="44" fillId="0" borderId="5" xfId="0" applyFont="1" applyBorder="1" applyAlignment="1">
      <alignment horizontal="center" vertical="center"/>
    </xf>
    <xf numFmtId="4" fontId="62" fillId="0" borderId="5" xfId="0" applyNumberFormat="1" applyFont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 wrapText="1"/>
    </xf>
    <xf numFmtId="0" fontId="45" fillId="12" borderId="8" xfId="0" applyFont="1" applyFill="1" applyBorder="1" applyAlignment="1">
      <alignment horizontal="center" vertical="center"/>
    </xf>
    <xf numFmtId="0" fontId="0" fillId="0" borderId="11" xfId="0" applyBorder="1"/>
    <xf numFmtId="0" fontId="0" fillId="0" borderId="7" xfId="0" applyBorder="1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19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7" borderId="0" xfId="0" applyFont="1" applyFill="1" applyAlignment="1">
      <alignment horizontal="center" vertical="center" wrapText="1"/>
    </xf>
    <xf numFmtId="0" fontId="20" fillId="7" borderId="2" xfId="0" applyFont="1" applyFill="1" applyBorder="1" applyAlignment="1">
      <alignment horizontal="center" vertical="center" wrapText="1"/>
    </xf>
    <xf numFmtId="0" fontId="45" fillId="12" borderId="1" xfId="0" applyFont="1" applyFill="1" applyBorder="1" applyAlignment="1">
      <alignment horizontal="center" vertical="center"/>
    </xf>
    <xf numFmtId="0" fontId="0" fillId="0" borderId="1" xfId="0" applyBorder="1"/>
    <xf numFmtId="0" fontId="4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50" fillId="3" borderId="0" xfId="0" applyFont="1" applyFill="1" applyAlignment="1">
      <alignment horizontal="center" vertical="center"/>
    </xf>
    <xf numFmtId="0" fontId="0" fillId="0" borderId="0" xfId="0"/>
  </cellXfs>
  <cellStyles count="2">
    <cellStyle name="Hyperlink" xfId="1" builtinId="8"/>
    <cellStyle name="Normal" xfId="0" builtinId="0"/>
  </cellStyles>
  <dxfs count="45"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rgb="FF595959"/>
        <name val="Calibri"/>
        <family val="2"/>
        <scheme val="none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Segoe UI"/>
        <family val="2"/>
        <scheme val="none"/>
      </font>
      <fill>
        <patternFill patternType="solid">
          <fgColor rgb="FF1F497D"/>
          <bgColor rgb="FF1F497D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egoe UI"/>
        <family val="2"/>
        <scheme val="none"/>
      </font>
      <numFmt numFmtId="4" formatCode="#,##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egoe UI"/>
        <family val="2"/>
        <scheme val="none"/>
      </font>
      <numFmt numFmtId="4" formatCode="#,##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egoe UI"/>
        <family val="2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egoe UI"/>
        <family val="2"/>
        <scheme val="none"/>
      </font>
      <numFmt numFmtId="4" formatCode="#,##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egoe UI"/>
        <family val="2"/>
        <scheme val="none"/>
      </font>
      <numFmt numFmtId="4" formatCode="#,##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egoe UI"/>
        <family val="2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egoe U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alatino Linotype"/>
        <family val="1"/>
        <scheme val="none"/>
      </font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fill>
        <patternFill patternType="solid">
          <fgColor rgb="FF1F497D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Segoe UI"/>
        <family val="2"/>
        <scheme val="none"/>
      </font>
      <fill>
        <patternFill patternType="solid">
          <fgColor rgb="FF1F497D"/>
          <bgColor rgb="FF1F497D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fill>
        <patternFill patternType="solid">
          <fgColor rgb="FF1F497D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Segoe UI"/>
        <family val="2"/>
        <scheme val="none"/>
      </font>
      <fill>
        <patternFill patternType="solid">
          <fgColor rgb="FF1F497D"/>
          <bgColor rgb="FF1F497D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231F5AC-9E99-4C89-850E-94488CBAA783}" name="Table9" displayName="Table9" ref="A3:L38" totalsRowShown="0" headerRowDxfId="31" headerRowBorderDxfId="30" tableBorderDxfId="29">
  <autoFilter ref="A3:L38" xr:uid="{9231F5AC-9E99-4C89-850E-94488CBAA783}"/>
  <tableColumns count="12">
    <tableColumn id="1" xr3:uid="{15DCA7B0-3D7B-4203-9F3B-509E9970E44D}" name="S NO" dataDxfId="28"/>
    <tableColumn id="2" xr3:uid="{A2BAC475-5BB6-4A08-A3A5-86FDC571BCC0}" name="Item Description &amp; Specifications" dataDxfId="27"/>
    <tableColumn id="3" xr3:uid="{E101B100-6086-4641-9EC4-4CEE1C1B97C3}" name="HSN/SAC"/>
    <tableColumn id="4" xr3:uid="{25161CD0-91E8-41A2-B439-4005B949CCF5}" name="UOM"/>
    <tableColumn id="5" xr3:uid="{E3D18BCE-BE59-4568-ABD7-009363BC2324}" name="Qty"/>
    <tableColumn id="6" xr3:uid="{E54CB389-4A01-4183-99F6-57F308315692}" name="Unit Rate (For pcs)"/>
    <tableColumn id="7" xr3:uid="{40DDBC35-51AB-4475-B80D-F0E41804AB4E}" name="Taxable Amt"/>
    <tableColumn id="8" xr3:uid="{7EF57418-AA91-4798-AAB2-D4EB3FDB8726}" name="GST (%)"/>
    <tableColumn id="9" xr3:uid="{1006A575-F345-4706-9AB4-6712D61F9D67}" name="Total Amount"/>
    <tableColumn id="10" xr3:uid="{6B21B842-49D4-4CEB-A52D-511E039B9D6B}" name="Dealers "/>
    <tableColumn id="11" xr3:uid="{4EA7FC07-0A83-4004-BFC1-0BB453C33D4C}" name="Contact Dedails"/>
    <tableColumn id="12" xr3:uid="{A9FCFBFF-D7D8-4634-A7A2-CB83F8568350}" name="FINALIZED THE QUOTATIO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92DD7FC-8CA9-4ABC-8808-3FC7867B81E1}" name="Table8" displayName="Table8" ref="A3:L52" totalsRowShown="0" headerRowDxfId="26" dataDxfId="25" tableBorderDxfId="24">
  <autoFilter ref="A3:L52" xr:uid="{692DD7FC-8CA9-4ABC-8808-3FC7867B81E1}"/>
  <tableColumns count="12">
    <tableColumn id="1" xr3:uid="{34A670BD-8C56-40F7-9E3F-F54B415B4BF4}" name="S NO" dataDxfId="23"/>
    <tableColumn id="2" xr3:uid="{79DE1427-32A3-4EFC-B258-F9270008D831}" name="Item Description &amp; Specifications" dataDxfId="22"/>
    <tableColumn id="3" xr3:uid="{B6E62923-C94E-4375-8E7B-BBBC7CAE4F64}" name="HSN/SAC" dataDxfId="21"/>
    <tableColumn id="4" xr3:uid="{897C79C9-8593-4848-B7EA-9CB855EC96C3}" name="UOM" dataDxfId="20"/>
    <tableColumn id="5" xr3:uid="{618259BE-5755-4179-9A0B-5A53C520E8EC}" name="Qty" dataDxfId="19"/>
    <tableColumn id="6" xr3:uid="{7D77A70E-D8BC-4011-ADC6-ECD0A744DE56}" name="Unit Rate (For Kg)" dataDxfId="18"/>
    <tableColumn id="7" xr3:uid="{3247422F-5FDB-4CC3-8CF4-8C5FBC325AD5}" name="Taxable Amt" dataDxfId="17"/>
    <tableColumn id="8" xr3:uid="{BB479B2E-5DBA-4EE5-B910-57F9B172D88F}" name="GST (%)" dataDxfId="16"/>
    <tableColumn id="9" xr3:uid="{12CC6DBC-1AAE-42C4-9B86-BADB5D0E2204}" name="Total Amount" dataDxfId="15"/>
    <tableColumn id="10" xr3:uid="{53241028-E677-42AD-9820-82D7937BB922}" name="Dealers " dataDxfId="14"/>
    <tableColumn id="11" xr3:uid="{82679904-6DF9-4180-AE0A-8EE0BEA156C9}" name="Contact Dedails" dataDxfId="13"/>
    <tableColumn id="12" xr3:uid="{2D906F7D-CC5F-4B3B-AB2D-4548041C3791}" name="FINALIZED THE QUOTATIONS" dataDxfId="1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AD88B90-673D-4084-97BF-6D76EA18850F}" name="Table7" displayName="Table7" ref="A3:N7" totalsRowShown="0" headerRowDxfId="11" headerRowBorderDxfId="10" tableBorderDxfId="9">
  <autoFilter ref="A3:N7" xr:uid="{2AD88B90-673D-4084-97BF-6D76EA18850F}"/>
  <tableColumns count="14">
    <tableColumn id="1" xr3:uid="{CD6F4AD7-D6AE-4A92-943F-DC823DA0A332}" name="S NO"/>
    <tableColumn id="2" xr3:uid="{E8A9B9EC-11CC-472F-9F52-923E601D7553}" name="Item Description &amp; Specifications"/>
    <tableColumn id="3" xr3:uid="{611E176E-9348-4F9D-B615-D5B7E8B358ED}" name="HSN/SAC"/>
    <tableColumn id="4" xr3:uid="{3E23EAFA-1E46-4240-B809-B4B91C71E735}" name="UOM"/>
    <tableColumn id="5" xr3:uid="{8C724AC8-CB7A-428F-8F67-55676610C73A}" name="Qty Bags "/>
    <tableColumn id="6" xr3:uid="{625CAC6A-0168-47D3-A966-CD27A74B10FD}" name="Unit Rate (For Kg)"/>
    <tableColumn id="7" xr3:uid="{CC223661-1574-4335-9E3D-E6BB5A9C4408}" name="Taxable Amt for Bag"/>
    <tableColumn id="8" xr3:uid="{8B54CE4A-6FBB-4EC1-85AC-CCA48B35F1AC}" name="Freight"/>
    <tableColumn id="9" xr3:uid="{7142DD92-5D38-4C6A-A1DB-33EF10E207F1}" name="GST (%)"/>
    <tableColumn id="10" xr3:uid="{F29F0486-851E-4324-81B3-AD2E6AE009C7}" name="Total Amount for bag "/>
    <tableColumn id="11" xr3:uid="{2F7E89AB-39DC-438C-ACD4-9B5805CDC8FB}" name="Total with Tax" dataDxfId="8"/>
    <tableColumn id="12" xr3:uid="{6BDD29B9-9070-43AE-9656-72B69C396229}" name="STORE"/>
    <tableColumn id="13" xr3:uid="{5323C67C-4949-49E6-B044-8695C1E254C2}" name="Contact Details"/>
    <tableColumn id="14" xr3:uid="{A68DEF28-FDA5-4BC3-A22B-8A7ACEC5E8BB}" name="FINALIZED THE QUOTATION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EE2FD50-4B41-4CC5-AEA9-E1B5B89A7113}" name="Table6" displayName="Table6" ref="A3:M11" totalsRowShown="0" headerRowDxfId="7" tableBorderDxfId="6">
  <autoFilter ref="A3:M11" xr:uid="{4EE2FD50-4B41-4CC5-AEA9-E1B5B89A7113}"/>
  <tableColumns count="13">
    <tableColumn id="1" xr3:uid="{66DCE332-0B3B-4A31-B718-F400083CA8BA}" name="S NO" dataDxfId="5"/>
    <tableColumn id="2" xr3:uid="{DE895A90-5656-4698-BB70-3BEA8FC37888}" name="Item Description &amp; Specifications" dataDxfId="4"/>
    <tableColumn id="3" xr3:uid="{FEE9F1C6-1D3D-48FB-B64F-6540A9960DD8}" name="HSN/SAC" dataDxfId="3"/>
    <tableColumn id="4" xr3:uid="{06E033EE-C27E-4C0C-8DC9-77D3F87AC9C3}" name="UOM"/>
    <tableColumn id="5" xr3:uid="{56076920-0E15-43AF-9EFC-18138F94E9A9}" name="Qty mtr &amp; Liters "/>
    <tableColumn id="6" xr3:uid="{1066D927-0872-4D5F-A97D-54D83F585C40}" name="Unit Rate (For MTR)"/>
    <tableColumn id="7" xr3:uid="{C14E6602-A49F-4FC0-BAFA-F941C4CAE7A9}" name="Total"/>
    <tableColumn id="8" xr3:uid="{F5B152FC-F328-4F0B-AD75-F3C246FB22F5}" name="GST (%)"/>
    <tableColumn id="9" xr3:uid="{32C1784D-E418-46E4-A7B9-6D1565B8AE8B}" name="Total Amount"/>
    <tableColumn id="10" xr3:uid="{3223747F-D648-4ACA-AF7A-05E522D2E393}" name="Dealers " dataDxfId="2"/>
    <tableColumn id="11" xr3:uid="{82107381-EEFA-4048-9526-EB616A423E34}" name="Contact Dedails"/>
    <tableColumn id="12" xr3:uid="{01A392BE-C66C-41E1-9942-50929A294076}" name="FINALIZED THE QUOTATIONS" dataDxfId="1"/>
    <tableColumn id="13" xr3:uid="{1198A461-826B-40F3-947B-1D7C532B30AB}" name="Column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5727DD-2B96-438F-B04F-217DAA4C9083}" name="Table1" displayName="Table1" ref="A2:G35" totalsRowShown="0">
  <autoFilter ref="A2:G35" xr:uid="{5D5727DD-2B96-438F-B04F-217DAA4C9083}"/>
  <tableColumns count="7">
    <tableColumn id="1" xr3:uid="{DB6FCE9B-A800-4280-83F7-A4BC4ACD62BA}" name="Column1"/>
    <tableColumn id="2" xr3:uid="{55C6AF21-6F1D-46BF-AE24-C8F96E55E5E6}" name="Column2" dataDxfId="0"/>
    <tableColumn id="3" xr3:uid="{9F646E6F-A456-4B1C-931D-34DF07BB4BD6}" name="Column3"/>
    <tableColumn id="4" xr3:uid="{430F5188-0041-4B1C-AD4E-0E10B49AF4DB}" name="Column4"/>
    <tableColumn id="5" xr3:uid="{023B2B72-061D-450A-BE09-D894D12DF81D}" name="Column5"/>
    <tableColumn id="6" xr3:uid="{13DDC91D-AD75-48CE-BF11-55DA62C7897B}" name="Column6"/>
    <tableColumn id="7" xr3:uid="{7AB69491-22F4-4FAD-A68E-789582A47CF1}" name="Column7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CCA7426-47D6-4FB9-9119-A9D1120037E1}" name="Table5" displayName="Table5" ref="A2:L8" totalsRowShown="0" headerRowDxfId="44" dataDxfId="42" headerRowBorderDxfId="43" tableBorderDxfId="41">
  <autoFilter ref="A2:L8" xr:uid="{FCCA7426-47D6-4FB9-9119-A9D1120037E1}"/>
  <tableColumns count="12">
    <tableColumn id="1" xr3:uid="{0A6B7944-27C9-469D-8A14-42D1F16651F1}" name="S NO" dataDxfId="40"/>
    <tableColumn id="2" xr3:uid="{A59FCE7E-14F7-4130-B4C9-976E7B07A2DD}" name="Item Description &amp; Specifications"/>
    <tableColumn id="3" xr3:uid="{21021A82-58FA-4010-9DB3-99E6627E09CF}" name="HSN/SAC"/>
    <tableColumn id="4" xr3:uid="{157DA7B7-947B-4663-A41B-AAE5F7035C4A}" name="UOM" dataDxfId="39"/>
    <tableColumn id="5" xr3:uid="{54D55FF1-5374-4BF0-8C3B-F1A35D8A622A}" name="Qty " dataDxfId="38"/>
    <tableColumn id="6" xr3:uid="{BD03382E-3DB5-44B1-B6AD-3E40F9AD3FEF}" name="Unit Rate (For Piece) " dataDxfId="37"/>
    <tableColumn id="7" xr3:uid="{5911FE18-207B-41FE-A429-1A4ED848F7A6}" name="Taxable Amt" dataDxfId="36"/>
    <tableColumn id="8" xr3:uid="{F425986C-F961-4E47-A081-337596CCB99C}" name="GST (%)" dataDxfId="35"/>
    <tableColumn id="9" xr3:uid="{88EDAA09-5E3E-4F00-9D2F-DB2210C81CDC}" name="Total with Tax" dataDxfId="34"/>
    <tableColumn id="10" xr3:uid="{E3B62E13-54BB-440C-8D9B-54B5BBD0CEF6}" name="location" dataDxfId="33"/>
    <tableColumn id="11" xr3:uid="{2CF4A07E-39F3-4A97-B98F-F4267CB17B49}" name="Contact Details" dataDxfId="32"/>
    <tableColumn id="12" xr3:uid="{BE70A232-93FC-457C-A918-B1EE14924F1D}" name="FINALIZED THE QUOTATION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tel:(984)%20984-7406" TargetMode="External"/><Relationship Id="rId2" Type="http://schemas.openxmlformats.org/officeDocument/2006/relationships/hyperlink" Target="tel:(984)%20984-7406" TargetMode="External"/><Relationship Id="rId1" Type="http://schemas.openxmlformats.org/officeDocument/2006/relationships/hyperlink" Target="tel:(984)%20984-7406" TargetMode="External"/><Relationship Id="rId5" Type="http://schemas.openxmlformats.org/officeDocument/2006/relationships/table" Target="../tables/table2.xml"/><Relationship Id="rId4" Type="http://schemas.openxmlformats.org/officeDocument/2006/relationships/hyperlink" Target="tel:(984)%20984-7406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C5405-7040-4163-93EF-7BD4AFBEFA7F}">
  <dimension ref="A1:L47"/>
  <sheetViews>
    <sheetView topLeftCell="A10" zoomScale="91" zoomScaleNormal="91" workbookViewId="0">
      <selection activeCell="H22" sqref="H22"/>
    </sheetView>
  </sheetViews>
  <sheetFormatPr defaultRowHeight="15"/>
  <cols>
    <col min="1" max="1" width="10.42578125" customWidth="1"/>
    <col min="2" max="2" width="59.28515625" customWidth="1"/>
    <col min="3" max="3" width="13.140625" customWidth="1"/>
    <col min="4" max="4" width="11.42578125" customWidth="1"/>
    <col min="5" max="5" width="11.85546875" customWidth="1"/>
    <col min="6" max="6" width="21.140625" customWidth="1"/>
    <col min="7" max="7" width="15.42578125" customWidth="1"/>
    <col min="8" max="8" width="11.85546875" customWidth="1"/>
    <col min="9" max="9" width="19.28515625" customWidth="1"/>
    <col min="10" max="10" width="27.140625" customWidth="1"/>
    <col min="11" max="11" width="18.42578125" customWidth="1"/>
    <col min="12" max="12" width="21.28515625" customWidth="1"/>
  </cols>
  <sheetData>
    <row r="1" spans="1:12">
      <c r="A1" s="4"/>
      <c r="B1" s="4"/>
      <c r="C1" s="183" t="s">
        <v>0</v>
      </c>
      <c r="D1" s="184"/>
      <c r="E1" s="184"/>
      <c r="F1" s="184"/>
      <c r="G1" s="184"/>
      <c r="H1" s="184"/>
      <c r="I1" s="184"/>
      <c r="J1" s="4"/>
      <c r="K1" s="4"/>
      <c r="L1" s="4"/>
    </row>
    <row r="2" spans="1:12">
      <c r="A2" s="4"/>
      <c r="B2" s="4"/>
      <c r="C2" s="184"/>
      <c r="D2" s="184"/>
      <c r="E2" s="184"/>
      <c r="F2" s="184"/>
      <c r="G2" s="184"/>
      <c r="H2" s="184"/>
      <c r="I2" s="184"/>
      <c r="J2" s="4"/>
      <c r="K2" s="4"/>
      <c r="L2" s="4"/>
    </row>
    <row r="3" spans="1:12" ht="33">
      <c r="A3" s="179" t="s">
        <v>1</v>
      </c>
      <c r="B3" s="179" t="s">
        <v>2</v>
      </c>
      <c r="C3" s="179" t="s">
        <v>3</v>
      </c>
      <c r="D3" s="179" t="s">
        <v>4</v>
      </c>
      <c r="E3" s="179" t="s">
        <v>5</v>
      </c>
      <c r="F3" s="179" t="s">
        <v>6</v>
      </c>
      <c r="G3" s="179" t="s">
        <v>7</v>
      </c>
      <c r="H3" s="179" t="s">
        <v>8</v>
      </c>
      <c r="I3" s="179" t="s">
        <v>9</v>
      </c>
      <c r="J3" s="179" t="s">
        <v>10</v>
      </c>
      <c r="K3" s="179" t="s">
        <v>11</v>
      </c>
      <c r="L3" s="179" t="s">
        <v>170</v>
      </c>
    </row>
    <row r="4" spans="1:12" ht="16.5">
      <c r="A4" s="2">
        <v>1</v>
      </c>
      <c r="B4" s="130" t="s">
        <v>12</v>
      </c>
      <c r="C4" s="130"/>
      <c r="D4" s="3"/>
      <c r="E4" s="3"/>
      <c r="F4" s="3"/>
      <c r="G4" s="3"/>
      <c r="H4" s="3"/>
      <c r="I4" s="3"/>
      <c r="J4" s="3"/>
      <c r="K4" s="3"/>
      <c r="L4" s="4"/>
    </row>
    <row r="5" spans="1:12" ht="33">
      <c r="A5" s="2">
        <v>2</v>
      </c>
      <c r="B5" s="4" t="s">
        <v>13</v>
      </c>
      <c r="C5" s="5" t="s">
        <v>14</v>
      </c>
      <c r="D5" s="6" t="s">
        <v>15</v>
      </c>
      <c r="E5" s="7">
        <v>200</v>
      </c>
      <c r="F5" s="8">
        <v>11</v>
      </c>
      <c r="G5" s="9">
        <f>E5*F5</f>
        <v>2200</v>
      </c>
      <c r="H5" s="7">
        <v>18</v>
      </c>
      <c r="I5" s="9">
        <f>G5*(1+H5/100)</f>
        <v>2596</v>
      </c>
      <c r="J5" s="10" t="s">
        <v>16</v>
      </c>
      <c r="K5" s="6" t="s">
        <v>17</v>
      </c>
      <c r="L5" s="4"/>
    </row>
    <row r="6" spans="1:12" ht="33">
      <c r="A6" s="2">
        <v>3</v>
      </c>
      <c r="B6" s="4" t="s">
        <v>18</v>
      </c>
      <c r="C6" s="5" t="s">
        <v>19</v>
      </c>
      <c r="D6" s="6" t="s">
        <v>15</v>
      </c>
      <c r="E6" s="7">
        <v>200</v>
      </c>
      <c r="F6" s="8">
        <v>36.96</v>
      </c>
      <c r="G6" s="9">
        <f t="shared" ref="G6:G29" si="0">E6*F6</f>
        <v>7392</v>
      </c>
      <c r="H6" s="7">
        <v>18</v>
      </c>
      <c r="I6" s="9">
        <f t="shared" ref="I6:I29" si="1">G6*(1+H6/100)</f>
        <v>8722.56</v>
      </c>
      <c r="J6" s="10" t="s">
        <v>16</v>
      </c>
      <c r="K6" s="6" t="s">
        <v>17</v>
      </c>
      <c r="L6" s="4"/>
    </row>
    <row r="7" spans="1:12" ht="33">
      <c r="A7" s="2">
        <v>4</v>
      </c>
      <c r="B7" s="4" t="s">
        <v>20</v>
      </c>
      <c r="C7" s="5" t="s">
        <v>21</v>
      </c>
      <c r="D7" s="6" t="s">
        <v>15</v>
      </c>
      <c r="E7" s="7">
        <v>200</v>
      </c>
      <c r="F7" s="8">
        <v>88</v>
      </c>
      <c r="G7" s="9">
        <f t="shared" si="0"/>
        <v>17600</v>
      </c>
      <c r="H7" s="7">
        <v>18</v>
      </c>
      <c r="I7" s="9">
        <f>G7*(1+H7/100)</f>
        <v>20768</v>
      </c>
      <c r="J7" s="10" t="s">
        <v>16</v>
      </c>
      <c r="K7" s="6" t="s">
        <v>17</v>
      </c>
      <c r="L7" s="4"/>
    </row>
    <row r="8" spans="1:12" ht="33">
      <c r="A8" s="2">
        <v>5</v>
      </c>
      <c r="B8" s="4" t="s">
        <v>22</v>
      </c>
      <c r="C8" s="5" t="s">
        <v>23</v>
      </c>
      <c r="D8" s="6" t="s">
        <v>15</v>
      </c>
      <c r="E8" s="7">
        <v>200</v>
      </c>
      <c r="F8" s="8">
        <v>97</v>
      </c>
      <c r="G8" s="9">
        <f t="shared" si="0"/>
        <v>19400</v>
      </c>
      <c r="H8" s="7">
        <v>18</v>
      </c>
      <c r="I8" s="9">
        <f t="shared" si="1"/>
        <v>22892</v>
      </c>
      <c r="J8" s="10" t="s">
        <v>16</v>
      </c>
      <c r="K8" s="6" t="s">
        <v>17</v>
      </c>
      <c r="L8" s="4"/>
    </row>
    <row r="9" spans="1:12" ht="16.5">
      <c r="A9" s="2">
        <v>6</v>
      </c>
      <c r="B9" s="4"/>
      <c r="C9" s="131" t="s">
        <v>24</v>
      </c>
      <c r="D9" s="131"/>
      <c r="E9" s="131"/>
      <c r="F9" s="131"/>
      <c r="G9" s="131"/>
      <c r="H9" s="11"/>
      <c r="I9" s="12">
        <f>SUM(I5:I8)</f>
        <v>54978.559999999998</v>
      </c>
      <c r="J9" s="10"/>
      <c r="K9" s="6"/>
      <c r="L9" s="4"/>
    </row>
    <row r="10" spans="1:12" ht="16.5">
      <c r="A10" s="2">
        <v>7</v>
      </c>
      <c r="B10" s="132" t="s">
        <v>25</v>
      </c>
      <c r="C10" s="132"/>
      <c r="D10" s="6"/>
      <c r="E10" s="7"/>
      <c r="F10" s="8"/>
      <c r="G10" s="9"/>
      <c r="H10" s="7"/>
      <c r="I10" s="9"/>
      <c r="J10" s="10"/>
      <c r="K10" s="6"/>
      <c r="L10" s="4"/>
    </row>
    <row r="11" spans="1:12" ht="16.5">
      <c r="A11" s="2">
        <v>8</v>
      </c>
      <c r="B11" s="4" t="s">
        <v>26</v>
      </c>
      <c r="C11" s="5"/>
      <c r="D11" s="6" t="s">
        <v>15</v>
      </c>
      <c r="E11" s="7">
        <v>200</v>
      </c>
      <c r="F11" s="9">
        <v>22</v>
      </c>
      <c r="G11" s="9">
        <f t="shared" si="0"/>
        <v>4400</v>
      </c>
      <c r="H11" s="7">
        <v>18</v>
      </c>
      <c r="I11" s="9">
        <f t="shared" si="1"/>
        <v>5192</v>
      </c>
      <c r="J11" s="9" t="s">
        <v>27</v>
      </c>
      <c r="K11" s="13" t="s">
        <v>28</v>
      </c>
      <c r="L11" s="4"/>
    </row>
    <row r="12" spans="1:12" ht="16.5">
      <c r="A12" s="2">
        <v>9</v>
      </c>
      <c r="B12" s="4" t="s">
        <v>29</v>
      </c>
      <c r="C12" s="5"/>
      <c r="D12" s="6" t="s">
        <v>15</v>
      </c>
      <c r="E12" s="7">
        <v>200</v>
      </c>
      <c r="F12" s="9">
        <v>42</v>
      </c>
      <c r="G12" s="9">
        <f t="shared" si="0"/>
        <v>8400</v>
      </c>
      <c r="H12" s="7">
        <v>18</v>
      </c>
      <c r="I12" s="9">
        <f t="shared" si="1"/>
        <v>9912</v>
      </c>
      <c r="J12" s="9" t="s">
        <v>27</v>
      </c>
      <c r="K12" s="13" t="s">
        <v>28</v>
      </c>
      <c r="L12" s="4"/>
    </row>
    <row r="13" spans="1:12" ht="16.5">
      <c r="A13" s="2">
        <v>10</v>
      </c>
      <c r="B13" s="4" t="s">
        <v>30</v>
      </c>
      <c r="C13" s="5"/>
      <c r="D13" s="6" t="s">
        <v>15</v>
      </c>
      <c r="E13" s="7">
        <v>200</v>
      </c>
      <c r="F13" s="9">
        <v>90</v>
      </c>
      <c r="G13" s="9">
        <f t="shared" si="0"/>
        <v>18000</v>
      </c>
      <c r="H13" s="7">
        <v>18</v>
      </c>
      <c r="I13" s="9">
        <f t="shared" si="1"/>
        <v>21240</v>
      </c>
      <c r="J13" s="9" t="s">
        <v>27</v>
      </c>
      <c r="K13" s="13" t="s">
        <v>28</v>
      </c>
      <c r="L13" s="4"/>
    </row>
    <row r="14" spans="1:12" ht="16.5">
      <c r="A14" s="2">
        <v>11</v>
      </c>
      <c r="B14" s="4" t="s">
        <v>31</v>
      </c>
      <c r="C14" s="5"/>
      <c r="D14" s="6" t="s">
        <v>15</v>
      </c>
      <c r="E14" s="7">
        <v>200</v>
      </c>
      <c r="F14" s="9">
        <v>90</v>
      </c>
      <c r="G14" s="9">
        <f t="shared" si="0"/>
        <v>18000</v>
      </c>
      <c r="H14" s="7">
        <v>18</v>
      </c>
      <c r="I14" s="9">
        <f t="shared" si="1"/>
        <v>21240</v>
      </c>
      <c r="J14" s="9" t="s">
        <v>27</v>
      </c>
      <c r="K14" s="13" t="s">
        <v>28</v>
      </c>
      <c r="L14" s="4"/>
    </row>
    <row r="15" spans="1:12" ht="16.5">
      <c r="A15" s="2">
        <v>12</v>
      </c>
      <c r="B15" s="4"/>
      <c r="C15" s="131" t="s">
        <v>24</v>
      </c>
      <c r="D15" s="131"/>
      <c r="E15" s="131"/>
      <c r="F15" s="131"/>
      <c r="G15" s="131"/>
      <c r="H15" s="11"/>
      <c r="I15" s="12">
        <f>SUM(I11:I14)</f>
        <v>57584</v>
      </c>
      <c r="J15" s="9"/>
      <c r="K15" s="13"/>
      <c r="L15" s="4"/>
    </row>
    <row r="16" spans="1:12" ht="16.5">
      <c r="A16" s="2">
        <v>13</v>
      </c>
      <c r="B16" s="132" t="s">
        <v>32</v>
      </c>
      <c r="C16" s="132"/>
      <c r="D16" s="6"/>
      <c r="E16" s="7"/>
      <c r="F16" s="9"/>
      <c r="G16" s="9"/>
      <c r="H16" s="7"/>
      <c r="I16" s="9"/>
      <c r="J16" s="9"/>
      <c r="K16" s="13"/>
      <c r="L16" s="4"/>
    </row>
    <row r="17" spans="1:12" ht="75">
      <c r="A17" s="2">
        <v>14</v>
      </c>
      <c r="B17" s="14" t="s">
        <v>33</v>
      </c>
      <c r="C17" s="15">
        <v>68042290</v>
      </c>
      <c r="D17" s="6" t="s">
        <v>15</v>
      </c>
      <c r="E17" s="7">
        <v>200</v>
      </c>
      <c r="F17" s="16">
        <v>39</v>
      </c>
      <c r="G17" s="9">
        <f t="shared" si="0"/>
        <v>7800</v>
      </c>
      <c r="H17" s="7">
        <v>18</v>
      </c>
      <c r="I17" s="9">
        <f t="shared" si="1"/>
        <v>9204</v>
      </c>
      <c r="J17" s="10" t="s">
        <v>34</v>
      </c>
      <c r="K17" s="17" t="s">
        <v>35</v>
      </c>
      <c r="L17" s="4"/>
    </row>
    <row r="18" spans="1:12" ht="30">
      <c r="A18" s="2">
        <v>15</v>
      </c>
      <c r="B18" s="148" t="s">
        <v>182</v>
      </c>
      <c r="C18" s="149">
        <v>68042210</v>
      </c>
      <c r="D18" s="150" t="s">
        <v>15</v>
      </c>
      <c r="E18" s="151">
        <v>200</v>
      </c>
      <c r="F18" s="152">
        <v>38</v>
      </c>
      <c r="G18" s="152">
        <f t="shared" si="0"/>
        <v>7600</v>
      </c>
      <c r="H18" s="151">
        <v>18</v>
      </c>
      <c r="I18" s="152">
        <f t="shared" si="1"/>
        <v>8968</v>
      </c>
      <c r="J18" s="153" t="s">
        <v>34</v>
      </c>
      <c r="K18" s="150" t="s">
        <v>35</v>
      </c>
      <c r="L18" s="52" t="s">
        <v>171</v>
      </c>
    </row>
    <row r="19" spans="1:12" ht="30">
      <c r="A19" s="2">
        <v>16</v>
      </c>
      <c r="B19" s="18" t="s">
        <v>36</v>
      </c>
      <c r="C19" s="23">
        <v>68042290</v>
      </c>
      <c r="D19" s="19" t="s">
        <v>15</v>
      </c>
      <c r="E19" s="20">
        <v>200</v>
      </c>
      <c r="F19" s="21">
        <v>81</v>
      </c>
      <c r="G19" s="21">
        <f t="shared" si="0"/>
        <v>16200</v>
      </c>
      <c r="H19" s="20">
        <v>18</v>
      </c>
      <c r="I19" s="21">
        <f>G19*(1+H19/100)</f>
        <v>19116</v>
      </c>
      <c r="J19" s="22" t="s">
        <v>34</v>
      </c>
      <c r="K19" s="19" t="s">
        <v>35</v>
      </c>
      <c r="L19" s="6"/>
    </row>
    <row r="20" spans="1:12" ht="16.5">
      <c r="A20" s="2">
        <v>17</v>
      </c>
      <c r="B20" s="148" t="s">
        <v>183</v>
      </c>
      <c r="C20" s="149">
        <v>68042210</v>
      </c>
      <c r="D20" s="150" t="s">
        <v>15</v>
      </c>
      <c r="E20" s="154">
        <v>100</v>
      </c>
      <c r="F20" s="154">
        <v>88</v>
      </c>
      <c r="G20" s="152">
        <f t="shared" si="0"/>
        <v>8800</v>
      </c>
      <c r="H20" s="151">
        <v>18</v>
      </c>
      <c r="I20" s="152">
        <f t="shared" si="1"/>
        <v>10384</v>
      </c>
      <c r="J20" s="153" t="s">
        <v>34</v>
      </c>
      <c r="K20" s="150" t="s">
        <v>35</v>
      </c>
      <c r="L20" s="52" t="s">
        <v>171</v>
      </c>
    </row>
    <row r="21" spans="1:12" ht="16.5">
      <c r="A21" s="2">
        <v>18</v>
      </c>
      <c r="B21" s="4"/>
      <c r="C21" s="12" t="s">
        <v>24</v>
      </c>
      <c r="D21" s="12"/>
      <c r="E21" s="12"/>
      <c r="F21" s="12"/>
      <c r="G21" s="12"/>
      <c r="H21" s="24"/>
      <c r="I21" s="12">
        <f>SUM(I17:I20)</f>
        <v>47672</v>
      </c>
      <c r="J21" s="25"/>
      <c r="K21" s="25"/>
      <c r="L21" s="6"/>
    </row>
    <row r="22" spans="1:12" ht="16.5">
      <c r="A22" s="2"/>
      <c r="B22" s="4"/>
      <c r="C22" s="12"/>
      <c r="D22" s="12"/>
      <c r="E22" s="119"/>
      <c r="F22" s="119"/>
      <c r="G22" s="119"/>
      <c r="H22" s="24"/>
      <c r="I22" s="12"/>
      <c r="J22" s="25"/>
      <c r="K22" s="25"/>
      <c r="L22" s="6"/>
    </row>
    <row r="23" spans="1:12" ht="16.5">
      <c r="A23" s="2">
        <v>19</v>
      </c>
      <c r="B23" s="4"/>
      <c r="C23" s="25"/>
      <c r="D23" s="25"/>
      <c r="E23" s="133" t="s">
        <v>173</v>
      </c>
      <c r="F23" s="133"/>
      <c r="G23" s="133"/>
      <c r="H23" s="114"/>
      <c r="I23" s="115">
        <f>I18+I20</f>
        <v>19352</v>
      </c>
      <c r="J23" s="25"/>
      <c r="K23" s="25"/>
      <c r="L23" s="6"/>
    </row>
    <row r="24" spans="1:12" ht="16.5">
      <c r="A24" s="2"/>
      <c r="B24" s="4"/>
      <c r="C24" s="25"/>
      <c r="D24" s="25"/>
      <c r="E24" s="120"/>
      <c r="F24" s="120"/>
      <c r="G24" s="120"/>
      <c r="H24" s="121"/>
      <c r="I24" s="122"/>
      <c r="J24" s="25"/>
      <c r="K24" s="25"/>
      <c r="L24" s="6"/>
    </row>
    <row r="25" spans="1:12" ht="16.5">
      <c r="A25" s="2">
        <v>20</v>
      </c>
      <c r="B25" s="132" t="s">
        <v>37</v>
      </c>
      <c r="C25" s="132"/>
      <c r="D25" s="25"/>
      <c r="E25" s="25"/>
      <c r="F25" s="25"/>
      <c r="G25" s="9"/>
      <c r="H25" s="25"/>
      <c r="I25" s="9"/>
      <c r="J25" s="25"/>
      <c r="K25" s="25"/>
      <c r="L25" s="6"/>
    </row>
    <row r="26" spans="1:12" ht="16.5">
      <c r="A26" s="2">
        <v>21</v>
      </c>
      <c r="B26" s="4" t="s">
        <v>38</v>
      </c>
      <c r="C26" s="25"/>
      <c r="D26" s="6" t="s">
        <v>15</v>
      </c>
      <c r="E26" s="25">
        <v>200</v>
      </c>
      <c r="F26" s="25">
        <v>10.17</v>
      </c>
      <c r="G26" s="9">
        <f t="shared" si="0"/>
        <v>2034</v>
      </c>
      <c r="H26" s="25">
        <v>18</v>
      </c>
      <c r="I26" s="9">
        <f t="shared" si="1"/>
        <v>2400.12</v>
      </c>
      <c r="J26" s="25" t="s">
        <v>39</v>
      </c>
      <c r="K26" s="25">
        <v>8686675543</v>
      </c>
      <c r="L26" s="6"/>
    </row>
    <row r="27" spans="1:12" ht="16.5">
      <c r="A27" s="2">
        <v>22</v>
      </c>
      <c r="B27" s="4" t="s">
        <v>40</v>
      </c>
      <c r="C27" s="25"/>
      <c r="D27" s="6" t="s">
        <v>15</v>
      </c>
      <c r="E27" s="25">
        <v>200</v>
      </c>
      <c r="F27" s="25">
        <v>15.25</v>
      </c>
      <c r="G27" s="9">
        <f t="shared" si="0"/>
        <v>3050</v>
      </c>
      <c r="H27" s="25">
        <v>18</v>
      </c>
      <c r="I27" s="9">
        <f t="shared" si="1"/>
        <v>3599</v>
      </c>
      <c r="J27" s="25" t="s">
        <v>39</v>
      </c>
      <c r="K27" s="25">
        <v>8686675543</v>
      </c>
      <c r="L27" s="6"/>
    </row>
    <row r="28" spans="1:12" ht="16.5">
      <c r="A28" s="2">
        <v>23</v>
      </c>
      <c r="B28" s="4" t="s">
        <v>175</v>
      </c>
      <c r="C28" s="25"/>
      <c r="D28" s="6" t="s">
        <v>15</v>
      </c>
      <c r="E28" s="25">
        <v>200</v>
      </c>
      <c r="F28" s="25">
        <v>42.37</v>
      </c>
      <c r="G28" s="9">
        <f t="shared" si="0"/>
        <v>8474</v>
      </c>
      <c r="H28" s="25">
        <v>18</v>
      </c>
      <c r="I28" s="9">
        <f t="shared" si="1"/>
        <v>9999.32</v>
      </c>
      <c r="J28" s="25" t="s">
        <v>39</v>
      </c>
      <c r="K28" s="25">
        <v>8686675543</v>
      </c>
      <c r="L28" s="6"/>
    </row>
    <row r="29" spans="1:12" ht="16.5">
      <c r="A29" s="2">
        <v>24</v>
      </c>
      <c r="B29" s="4" t="s">
        <v>41</v>
      </c>
      <c r="C29" s="25"/>
      <c r="D29" s="6" t="s">
        <v>15</v>
      </c>
      <c r="E29" s="25">
        <v>200</v>
      </c>
      <c r="F29" s="25">
        <v>101.69</v>
      </c>
      <c r="G29" s="9">
        <f t="shared" si="0"/>
        <v>20338</v>
      </c>
      <c r="H29" s="25">
        <v>18</v>
      </c>
      <c r="I29" s="9">
        <f t="shared" si="1"/>
        <v>23998.84</v>
      </c>
      <c r="J29" s="25" t="s">
        <v>39</v>
      </c>
      <c r="K29" s="25">
        <v>8686675543</v>
      </c>
      <c r="L29" s="6"/>
    </row>
    <row r="30" spans="1:12" ht="16.5">
      <c r="A30" s="2">
        <v>25</v>
      </c>
      <c r="B30" s="4" t="s">
        <v>42</v>
      </c>
      <c r="C30" s="25"/>
      <c r="D30" s="6" t="s">
        <v>15</v>
      </c>
      <c r="E30" s="25">
        <v>200</v>
      </c>
      <c r="F30" s="25">
        <v>127.12</v>
      </c>
      <c r="G30" s="9">
        <f>E30*F30</f>
        <v>25424</v>
      </c>
      <c r="H30" s="25">
        <v>18</v>
      </c>
      <c r="I30" s="9">
        <f>G30*(1+H30/100)</f>
        <v>30000.32</v>
      </c>
      <c r="J30" s="25" t="s">
        <v>39</v>
      </c>
      <c r="K30" s="25">
        <v>8686675543</v>
      </c>
      <c r="L30" s="6"/>
    </row>
    <row r="31" spans="1:12" ht="16.5">
      <c r="A31" s="2">
        <v>26</v>
      </c>
      <c r="B31" s="4"/>
      <c r="C31" s="24" t="s">
        <v>24</v>
      </c>
      <c r="D31" s="24"/>
      <c r="E31" s="24"/>
      <c r="F31" s="24"/>
      <c r="G31" s="24"/>
      <c r="H31" s="24"/>
      <c r="I31" s="12">
        <f>SUM(I26:I30)</f>
        <v>69997.600000000006</v>
      </c>
      <c r="J31" s="25"/>
      <c r="K31" s="25"/>
      <c r="L31" s="6"/>
    </row>
    <row r="32" spans="1:12" ht="16.5">
      <c r="A32" s="2">
        <v>27</v>
      </c>
      <c r="B32" s="132" t="s">
        <v>43</v>
      </c>
      <c r="C32" s="132"/>
      <c r="D32" s="6"/>
      <c r="E32" s="25"/>
      <c r="F32" s="25"/>
      <c r="G32" s="9"/>
      <c r="H32" s="25"/>
      <c r="I32" s="9"/>
      <c r="J32" s="25"/>
      <c r="K32" s="25"/>
      <c r="L32" s="6"/>
    </row>
    <row r="33" spans="1:12" ht="16.5">
      <c r="A33" s="2">
        <v>28</v>
      </c>
      <c r="B33" s="31" t="s">
        <v>184</v>
      </c>
      <c r="C33" s="24"/>
      <c r="D33" s="45" t="s">
        <v>15</v>
      </c>
      <c r="E33" s="24">
        <v>200</v>
      </c>
      <c r="F33" s="24">
        <v>12</v>
      </c>
      <c r="G33" s="12">
        <f t="shared" ref="G33:G36" si="2">E33*F33</f>
        <v>2400</v>
      </c>
      <c r="H33" s="24">
        <v>18</v>
      </c>
      <c r="I33" s="12">
        <f>G33*(1+H33/100)</f>
        <v>2832</v>
      </c>
      <c r="J33" s="24" t="s">
        <v>44</v>
      </c>
      <c r="K33" s="24" t="s">
        <v>45</v>
      </c>
      <c r="L33" s="52" t="s">
        <v>171</v>
      </c>
    </row>
    <row r="34" spans="1:12" ht="16.5">
      <c r="A34" s="2">
        <v>29</v>
      </c>
      <c r="B34" s="4" t="s">
        <v>175</v>
      </c>
      <c r="C34" s="25"/>
      <c r="D34" s="6" t="s">
        <v>15</v>
      </c>
      <c r="E34" s="25">
        <v>200</v>
      </c>
      <c r="F34" s="25">
        <v>50</v>
      </c>
      <c r="G34" s="9">
        <f>E34*F34</f>
        <v>10000</v>
      </c>
      <c r="H34" s="25">
        <v>18</v>
      </c>
      <c r="I34" s="9">
        <f>G34*(1+H34/100)</f>
        <v>11800</v>
      </c>
      <c r="J34" s="25" t="s">
        <v>44</v>
      </c>
      <c r="K34" s="25" t="s">
        <v>45</v>
      </c>
      <c r="L34" s="6"/>
    </row>
    <row r="35" spans="1:12" ht="16.5">
      <c r="A35" s="2">
        <v>30</v>
      </c>
      <c r="B35" s="31" t="s">
        <v>185</v>
      </c>
      <c r="C35" s="24"/>
      <c r="D35" s="45" t="s">
        <v>15</v>
      </c>
      <c r="E35" s="24">
        <v>100</v>
      </c>
      <c r="F35" s="24">
        <v>45</v>
      </c>
      <c r="G35" s="12">
        <f t="shared" si="2"/>
        <v>4500</v>
      </c>
      <c r="H35" s="24">
        <v>18</v>
      </c>
      <c r="I35" s="12">
        <f t="shared" ref="I35:I36" si="3">G35*(1+H35/100)</f>
        <v>5310</v>
      </c>
      <c r="J35" s="24" t="s">
        <v>44</v>
      </c>
      <c r="K35" s="24" t="s">
        <v>45</v>
      </c>
      <c r="L35" s="52" t="s">
        <v>171</v>
      </c>
    </row>
    <row r="36" spans="1:12" ht="16.5">
      <c r="A36" s="2">
        <v>31</v>
      </c>
      <c r="B36" s="4" t="s">
        <v>46</v>
      </c>
      <c r="C36" s="25"/>
      <c r="D36" s="6" t="s">
        <v>15</v>
      </c>
      <c r="E36" s="25">
        <v>200</v>
      </c>
      <c r="F36" s="25">
        <v>90</v>
      </c>
      <c r="G36" s="9">
        <f t="shared" si="2"/>
        <v>18000</v>
      </c>
      <c r="H36" s="25">
        <v>18</v>
      </c>
      <c r="I36" s="9">
        <f t="shared" si="3"/>
        <v>21240</v>
      </c>
      <c r="J36" s="25" t="s">
        <v>44</v>
      </c>
      <c r="K36" s="25" t="s">
        <v>45</v>
      </c>
      <c r="L36" s="4"/>
    </row>
    <row r="37" spans="1:12" ht="16.5">
      <c r="A37" s="2">
        <v>32</v>
      </c>
      <c r="B37" s="4"/>
      <c r="C37" s="4"/>
      <c r="D37" s="45" t="s">
        <v>24</v>
      </c>
      <c r="E37" s="45"/>
      <c r="F37" s="45"/>
      <c r="G37" s="45"/>
      <c r="H37" s="45"/>
      <c r="I37" s="26">
        <f>SUM(I33:I36)</f>
        <v>41182</v>
      </c>
      <c r="J37" s="4"/>
      <c r="K37" s="4"/>
      <c r="L37" s="4"/>
    </row>
    <row r="39" spans="1:12">
      <c r="F39" s="185" t="s">
        <v>172</v>
      </c>
      <c r="G39" s="185"/>
      <c r="H39" s="185"/>
      <c r="I39" s="116">
        <f>I33+I35</f>
        <v>8142</v>
      </c>
    </row>
    <row r="41" spans="1:12" ht="15.75">
      <c r="C41" s="186" t="s">
        <v>179</v>
      </c>
      <c r="D41" s="186"/>
      <c r="E41" s="186"/>
      <c r="F41" s="186"/>
      <c r="G41" s="186"/>
      <c r="H41" s="186"/>
      <c r="I41" s="118">
        <f>I23+I39</f>
        <v>27494</v>
      </c>
    </row>
    <row r="45" spans="1:12" ht="30">
      <c r="B45" s="117" t="s">
        <v>174</v>
      </c>
      <c r="C45" s="4"/>
      <c r="D45" s="4"/>
      <c r="E45" s="25"/>
      <c r="F45" s="6">
        <f>17640+11600+39000</f>
        <v>68240</v>
      </c>
    </row>
    <row r="46" spans="1:12" ht="15" customHeight="1">
      <c r="B46" s="4"/>
      <c r="C46" s="14"/>
      <c r="D46" s="14"/>
      <c r="E46" s="14"/>
      <c r="F46" s="4"/>
    </row>
    <row r="47" spans="1:12" ht="15" customHeight="1">
      <c r="C47" s="187"/>
      <c r="D47" s="187"/>
    </row>
  </sheetData>
  <mergeCells count="4">
    <mergeCell ref="C1:I2"/>
    <mergeCell ref="F39:H39"/>
    <mergeCell ref="C41:H41"/>
    <mergeCell ref="C47:D47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72AFD-04FB-411A-86B2-750936147E90}">
  <dimension ref="A1:L56"/>
  <sheetViews>
    <sheetView topLeftCell="B1" zoomScale="106" zoomScaleNormal="106" workbookViewId="0">
      <selection activeCell="J5" sqref="J5"/>
    </sheetView>
  </sheetViews>
  <sheetFormatPr defaultRowHeight="15"/>
  <cols>
    <col min="2" max="2" width="47.5703125" customWidth="1"/>
    <col min="3" max="3" width="14" customWidth="1"/>
    <col min="4" max="4" width="8.140625" customWidth="1"/>
    <col min="5" max="5" width="12.42578125" customWidth="1"/>
    <col min="6" max="6" width="20.85546875" customWidth="1"/>
    <col min="7" max="7" width="17.42578125" customWidth="1"/>
    <col min="8" max="8" width="10.85546875" customWidth="1"/>
    <col min="9" max="9" width="18.28515625" customWidth="1"/>
    <col min="10" max="10" width="27.7109375" customWidth="1"/>
    <col min="11" max="11" width="18.28515625" customWidth="1"/>
    <col min="12" max="12" width="21.5703125" bestFit="1" customWidth="1"/>
  </cols>
  <sheetData>
    <row r="1" spans="1:12" ht="16.5" customHeight="1">
      <c r="A1" s="27"/>
      <c r="B1" s="27"/>
      <c r="C1" s="188" t="s">
        <v>47</v>
      </c>
      <c r="D1" s="188"/>
      <c r="E1" s="188"/>
      <c r="F1" s="188"/>
      <c r="G1" s="188"/>
      <c r="H1" s="188"/>
      <c r="I1" s="188"/>
      <c r="J1" s="27"/>
      <c r="K1" s="27"/>
    </row>
    <row r="2" spans="1:12">
      <c r="A2" s="27"/>
      <c r="B2" s="27"/>
      <c r="C2" s="189"/>
      <c r="D2" s="189"/>
      <c r="E2" s="189"/>
      <c r="F2" s="189"/>
      <c r="G2" s="189"/>
      <c r="H2" s="189"/>
      <c r="I2" s="189"/>
      <c r="J2" s="27"/>
      <c r="K2" s="27"/>
    </row>
    <row r="3" spans="1:12" ht="33">
      <c r="A3" s="53" t="s">
        <v>1</v>
      </c>
      <c r="B3" s="53" t="s">
        <v>2</v>
      </c>
      <c r="C3" s="53" t="s">
        <v>3</v>
      </c>
      <c r="D3" s="53" t="s">
        <v>4</v>
      </c>
      <c r="E3" s="53" t="s">
        <v>5</v>
      </c>
      <c r="F3" s="53" t="s">
        <v>48</v>
      </c>
      <c r="G3" s="53" t="s">
        <v>7</v>
      </c>
      <c r="H3" s="53" t="s">
        <v>8</v>
      </c>
      <c r="I3" s="53" t="s">
        <v>9</v>
      </c>
      <c r="J3" s="53" t="s">
        <v>10</v>
      </c>
      <c r="K3" s="53" t="s">
        <v>11</v>
      </c>
      <c r="L3" s="172" t="s">
        <v>165</v>
      </c>
    </row>
    <row r="4" spans="1:12" ht="45" customHeight="1">
      <c r="A4" s="171">
        <v>1</v>
      </c>
      <c r="B4" s="141" t="s">
        <v>59</v>
      </c>
      <c r="C4" s="141"/>
      <c r="D4" s="141"/>
      <c r="E4" s="54"/>
      <c r="F4" s="55"/>
      <c r="G4" s="56"/>
      <c r="H4" s="54"/>
      <c r="I4" s="56"/>
      <c r="J4" s="57"/>
      <c r="K4" s="58"/>
      <c r="L4" s="156"/>
    </row>
    <row r="5" spans="1:12" ht="49.5">
      <c r="A5" s="171">
        <v>2</v>
      </c>
      <c r="B5" s="59" t="s">
        <v>60</v>
      </c>
      <c r="C5" s="60">
        <v>83111000</v>
      </c>
      <c r="D5" s="61" t="s">
        <v>50</v>
      </c>
      <c r="E5" s="62">
        <v>400</v>
      </c>
      <c r="F5" s="63">
        <v>93</v>
      </c>
      <c r="G5" s="63">
        <v>37200</v>
      </c>
      <c r="H5" s="62">
        <v>18</v>
      </c>
      <c r="I5" s="63">
        <v>43896</v>
      </c>
      <c r="J5" s="64" t="s">
        <v>143</v>
      </c>
      <c r="K5" s="65" t="s">
        <v>62</v>
      </c>
      <c r="L5" s="156"/>
    </row>
    <row r="6" spans="1:12" ht="49.5">
      <c r="A6" s="171">
        <v>3</v>
      </c>
      <c r="B6" s="59" t="s">
        <v>63</v>
      </c>
      <c r="C6" s="60">
        <v>83111000</v>
      </c>
      <c r="D6" s="61" t="s">
        <v>50</v>
      </c>
      <c r="E6" s="62">
        <v>300</v>
      </c>
      <c r="F6" s="63">
        <v>83</v>
      </c>
      <c r="G6" s="63">
        <v>24900</v>
      </c>
      <c r="H6" s="62">
        <v>18</v>
      </c>
      <c r="I6" s="63">
        <v>29382</v>
      </c>
      <c r="J6" s="64" t="s">
        <v>61</v>
      </c>
      <c r="K6" s="65" t="s">
        <v>62</v>
      </c>
      <c r="L6" s="173" t="s">
        <v>169</v>
      </c>
    </row>
    <row r="7" spans="1:12" ht="49.5">
      <c r="A7" s="171">
        <v>4</v>
      </c>
      <c r="B7" s="59" t="s">
        <v>64</v>
      </c>
      <c r="C7" s="60">
        <v>83111000</v>
      </c>
      <c r="D7" s="61" t="s">
        <v>50</v>
      </c>
      <c r="E7" s="62">
        <v>300</v>
      </c>
      <c r="F7" s="63">
        <v>83</v>
      </c>
      <c r="G7" s="63">
        <v>24900</v>
      </c>
      <c r="H7" s="62">
        <v>18</v>
      </c>
      <c r="I7" s="63">
        <v>29382</v>
      </c>
      <c r="J7" s="64" t="s">
        <v>61</v>
      </c>
      <c r="K7" s="65" t="s">
        <v>62</v>
      </c>
      <c r="L7" s="156"/>
    </row>
    <row r="8" spans="1:12" ht="16.5">
      <c r="A8" s="171">
        <v>5</v>
      </c>
      <c r="B8" s="66"/>
      <c r="C8" s="60"/>
      <c r="D8" s="135" t="s">
        <v>24</v>
      </c>
      <c r="E8" s="135"/>
      <c r="F8" s="135"/>
      <c r="G8" s="135"/>
      <c r="H8" s="135"/>
      <c r="I8" s="67">
        <f>SUM(I5:I7)</f>
        <v>102660</v>
      </c>
      <c r="J8" s="64"/>
      <c r="K8" s="68"/>
      <c r="L8" s="156"/>
    </row>
    <row r="9" spans="1:12" ht="16.5">
      <c r="A9" s="171">
        <v>6</v>
      </c>
      <c r="B9" s="66"/>
      <c r="C9" s="69"/>
      <c r="D9" s="69"/>
      <c r="E9" s="69"/>
      <c r="F9" s="69"/>
      <c r="G9" s="69"/>
      <c r="H9" s="70"/>
      <c r="I9" s="67"/>
      <c r="J9" s="71"/>
      <c r="K9" s="72"/>
      <c r="L9" s="156"/>
    </row>
    <row r="10" spans="1:12" ht="42" customHeight="1">
      <c r="A10" s="171">
        <v>7</v>
      </c>
      <c r="B10" s="137" t="s">
        <v>65</v>
      </c>
      <c r="C10" s="137"/>
      <c r="D10" s="137"/>
      <c r="E10" s="69"/>
      <c r="F10" s="69"/>
      <c r="G10" s="69"/>
      <c r="H10" s="70"/>
      <c r="I10" s="67"/>
      <c r="J10" s="71"/>
      <c r="K10" s="72"/>
      <c r="L10" s="156"/>
    </row>
    <row r="11" spans="1:12" ht="75">
      <c r="A11" s="171">
        <v>8</v>
      </c>
      <c r="B11" s="73" t="s">
        <v>66</v>
      </c>
      <c r="C11" s="74">
        <v>83111000</v>
      </c>
      <c r="D11" s="75" t="s">
        <v>50</v>
      </c>
      <c r="E11" s="76">
        <v>400</v>
      </c>
      <c r="F11" s="77">
        <v>105</v>
      </c>
      <c r="G11" s="77">
        <v>42000</v>
      </c>
      <c r="H11" s="76">
        <v>18</v>
      </c>
      <c r="I11" s="77">
        <v>49560</v>
      </c>
      <c r="J11" s="77" t="s">
        <v>65</v>
      </c>
      <c r="K11" s="78" t="s">
        <v>35</v>
      </c>
      <c r="L11" s="156"/>
    </row>
    <row r="12" spans="1:12" ht="60">
      <c r="A12" s="171">
        <v>9</v>
      </c>
      <c r="B12" s="73" t="s">
        <v>67</v>
      </c>
      <c r="C12" s="74">
        <v>83111000</v>
      </c>
      <c r="D12" s="75" t="s">
        <v>50</v>
      </c>
      <c r="E12" s="76">
        <v>300</v>
      </c>
      <c r="F12" s="77">
        <v>97</v>
      </c>
      <c r="G12" s="77">
        <v>29100</v>
      </c>
      <c r="H12" s="76">
        <v>18</v>
      </c>
      <c r="I12" s="77">
        <v>34338</v>
      </c>
      <c r="J12" s="77" t="s">
        <v>65</v>
      </c>
      <c r="K12" s="78" t="s">
        <v>35</v>
      </c>
      <c r="L12" s="156"/>
    </row>
    <row r="13" spans="1:12" ht="60">
      <c r="A13" s="171">
        <v>10</v>
      </c>
      <c r="B13" s="73" t="s">
        <v>68</v>
      </c>
      <c r="C13" s="74">
        <v>83111000</v>
      </c>
      <c r="D13" s="75" t="s">
        <v>50</v>
      </c>
      <c r="E13" s="76">
        <v>300</v>
      </c>
      <c r="F13" s="77">
        <v>97</v>
      </c>
      <c r="G13" s="77">
        <v>29100</v>
      </c>
      <c r="H13" s="76">
        <v>18</v>
      </c>
      <c r="I13" s="77">
        <v>34338</v>
      </c>
      <c r="J13" s="77" t="s">
        <v>65</v>
      </c>
      <c r="K13" s="78" t="s">
        <v>35</v>
      </c>
      <c r="L13" s="156"/>
    </row>
    <row r="14" spans="1:12" ht="16.5">
      <c r="A14" s="171">
        <v>11</v>
      </c>
      <c r="B14" s="79"/>
      <c r="C14" s="80"/>
      <c r="D14" s="81"/>
      <c r="E14" s="138" t="s">
        <v>24</v>
      </c>
      <c r="F14" s="138"/>
      <c r="G14" s="138"/>
      <c r="H14" s="138"/>
      <c r="I14" s="82">
        <v>118236</v>
      </c>
      <c r="J14" s="83"/>
      <c r="K14" s="84"/>
      <c r="L14" s="156"/>
    </row>
    <row r="15" spans="1:12" ht="16.5">
      <c r="A15" s="171">
        <v>12</v>
      </c>
      <c r="B15" s="85"/>
      <c r="C15" s="85"/>
      <c r="D15" s="86"/>
      <c r="E15" s="87"/>
      <c r="F15" s="88"/>
      <c r="G15" s="88"/>
      <c r="H15" s="87"/>
      <c r="I15" s="88"/>
      <c r="J15" s="89"/>
      <c r="K15" s="90"/>
      <c r="L15" s="156"/>
    </row>
    <row r="16" spans="1:12" ht="16.5">
      <c r="A16" s="171">
        <v>13</v>
      </c>
      <c r="B16" s="142" t="s">
        <v>151</v>
      </c>
      <c r="C16" s="142"/>
      <c r="D16" s="142"/>
      <c r="E16" s="91"/>
      <c r="F16" s="91"/>
      <c r="G16" s="91"/>
      <c r="H16" s="91"/>
      <c r="I16" s="91"/>
      <c r="J16" s="91"/>
      <c r="K16" s="91"/>
      <c r="L16" s="156"/>
    </row>
    <row r="17" spans="1:12" ht="30">
      <c r="A17" s="171">
        <v>14</v>
      </c>
      <c r="B17" s="92" t="s">
        <v>49</v>
      </c>
      <c r="C17" s="93">
        <v>83111000</v>
      </c>
      <c r="D17" s="94" t="s">
        <v>50</v>
      </c>
      <c r="E17" s="95">
        <v>400</v>
      </c>
      <c r="F17" s="96">
        <v>106.5</v>
      </c>
      <c r="G17" s="96">
        <v>42600</v>
      </c>
      <c r="H17" s="95">
        <v>18</v>
      </c>
      <c r="I17" s="96">
        <v>50268</v>
      </c>
      <c r="J17" s="96" t="s">
        <v>51</v>
      </c>
      <c r="K17" s="97" t="s">
        <v>52</v>
      </c>
      <c r="L17" s="156"/>
    </row>
    <row r="18" spans="1:12" ht="30">
      <c r="A18" s="171">
        <v>15</v>
      </c>
      <c r="B18" s="92" t="s">
        <v>53</v>
      </c>
      <c r="C18" s="93">
        <v>83111000</v>
      </c>
      <c r="D18" s="94" t="s">
        <v>50</v>
      </c>
      <c r="E18" s="95">
        <v>300</v>
      </c>
      <c r="F18" s="96">
        <v>94.9</v>
      </c>
      <c r="G18" s="96">
        <v>28470</v>
      </c>
      <c r="H18" s="95">
        <v>18</v>
      </c>
      <c r="I18" s="96">
        <v>33594.6</v>
      </c>
      <c r="J18" s="96" t="s">
        <v>51</v>
      </c>
      <c r="K18" s="97" t="s">
        <v>52</v>
      </c>
      <c r="L18" s="156"/>
    </row>
    <row r="19" spans="1:12" ht="30">
      <c r="A19" s="171">
        <v>16</v>
      </c>
      <c r="B19" s="92" t="s">
        <v>54</v>
      </c>
      <c r="C19" s="93">
        <v>83111000</v>
      </c>
      <c r="D19" s="94" t="s">
        <v>50</v>
      </c>
      <c r="E19" s="95">
        <v>300</v>
      </c>
      <c r="F19" s="96">
        <v>94.9</v>
      </c>
      <c r="G19" s="96">
        <v>28470</v>
      </c>
      <c r="H19" s="95">
        <v>18</v>
      </c>
      <c r="I19" s="96">
        <v>33594.6</v>
      </c>
      <c r="J19" s="96" t="s">
        <v>51</v>
      </c>
      <c r="K19" s="97" t="s">
        <v>52</v>
      </c>
      <c r="L19" s="156"/>
    </row>
    <row r="20" spans="1:12" ht="16.5">
      <c r="A20" s="171">
        <v>17</v>
      </c>
      <c r="B20" s="98"/>
      <c r="C20" s="143" t="s">
        <v>24</v>
      </c>
      <c r="D20" s="143"/>
      <c r="E20" s="143"/>
      <c r="F20" s="143"/>
      <c r="G20" s="143"/>
      <c r="H20" s="99"/>
      <c r="I20" s="100">
        <v>117457.2</v>
      </c>
      <c r="J20" s="96"/>
      <c r="K20" s="97"/>
      <c r="L20" s="156"/>
    </row>
    <row r="21" spans="1:12" ht="34.5" customHeight="1">
      <c r="A21" s="171">
        <v>18</v>
      </c>
      <c r="B21" s="139" t="s">
        <v>69</v>
      </c>
      <c r="C21" s="139"/>
      <c r="D21" s="139"/>
      <c r="E21" s="87"/>
      <c r="F21" s="88"/>
      <c r="G21" s="88"/>
      <c r="H21" s="87"/>
      <c r="I21" s="88"/>
      <c r="J21" s="89"/>
      <c r="K21" s="90"/>
      <c r="L21" s="156"/>
    </row>
    <row r="22" spans="1:12" ht="30">
      <c r="A22" s="171">
        <v>19</v>
      </c>
      <c r="B22" s="101" t="s">
        <v>70</v>
      </c>
      <c r="C22" s="85"/>
      <c r="D22" s="15" t="s">
        <v>50</v>
      </c>
      <c r="E22" s="7">
        <v>400</v>
      </c>
      <c r="F22" s="47">
        <v>117</v>
      </c>
      <c r="G22" s="47">
        <v>46800</v>
      </c>
      <c r="H22" s="7">
        <v>18</v>
      </c>
      <c r="I22" s="9">
        <v>55224</v>
      </c>
      <c r="J22" s="47" t="s">
        <v>71</v>
      </c>
      <c r="K22" s="47" t="s">
        <v>72</v>
      </c>
      <c r="L22" s="156"/>
    </row>
    <row r="23" spans="1:12" ht="30">
      <c r="A23" s="171">
        <v>20</v>
      </c>
      <c r="B23" s="101" t="s">
        <v>73</v>
      </c>
      <c r="C23" s="85"/>
      <c r="D23" s="15" t="s">
        <v>50</v>
      </c>
      <c r="E23" s="7">
        <v>300</v>
      </c>
      <c r="F23" s="47">
        <v>115</v>
      </c>
      <c r="G23" s="47">
        <v>34500</v>
      </c>
      <c r="H23" s="7">
        <v>18</v>
      </c>
      <c r="I23" s="9">
        <v>40710</v>
      </c>
      <c r="J23" s="47" t="s">
        <v>71</v>
      </c>
      <c r="K23" s="47" t="s">
        <v>72</v>
      </c>
      <c r="L23" s="156"/>
    </row>
    <row r="24" spans="1:12" ht="30">
      <c r="A24" s="171">
        <v>21</v>
      </c>
      <c r="B24" s="101" t="s">
        <v>74</v>
      </c>
      <c r="C24" s="85"/>
      <c r="D24" s="15" t="s">
        <v>50</v>
      </c>
      <c r="E24" s="7">
        <v>300</v>
      </c>
      <c r="F24" s="9">
        <v>113</v>
      </c>
      <c r="G24" s="9">
        <v>33900</v>
      </c>
      <c r="H24" s="7">
        <v>18</v>
      </c>
      <c r="I24" s="9">
        <v>40002</v>
      </c>
      <c r="J24" s="47" t="s">
        <v>71</v>
      </c>
      <c r="K24" s="47" t="s">
        <v>72</v>
      </c>
      <c r="L24" s="156"/>
    </row>
    <row r="25" spans="1:12" ht="16.5">
      <c r="A25" s="171">
        <v>22</v>
      </c>
      <c r="B25" s="102"/>
      <c r="C25" s="85"/>
      <c r="D25" s="134" t="s">
        <v>24</v>
      </c>
      <c r="E25" s="134"/>
      <c r="F25" s="134"/>
      <c r="G25" s="134"/>
      <c r="H25" s="11"/>
      <c r="I25" s="12">
        <v>135936</v>
      </c>
      <c r="J25" s="47"/>
      <c r="K25" s="47"/>
      <c r="L25" s="156"/>
    </row>
    <row r="26" spans="1:12" ht="16.5">
      <c r="A26" s="171">
        <v>23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156"/>
    </row>
    <row r="27" spans="1:12" ht="34.5">
      <c r="A27" s="171">
        <v>24</v>
      </c>
      <c r="B27" s="136" t="s">
        <v>75</v>
      </c>
      <c r="C27" s="136"/>
      <c r="D27" s="136"/>
      <c r="E27" s="54"/>
      <c r="F27" s="103"/>
      <c r="G27" s="103"/>
      <c r="H27" s="54"/>
      <c r="I27" s="56"/>
      <c r="J27" s="85"/>
      <c r="K27" s="104"/>
      <c r="L27" s="156"/>
    </row>
    <row r="28" spans="1:12" ht="60">
      <c r="A28" s="171">
        <v>25</v>
      </c>
      <c r="B28" s="102" t="s">
        <v>76</v>
      </c>
      <c r="C28" s="47"/>
      <c r="D28" s="15" t="s">
        <v>50</v>
      </c>
      <c r="E28" s="7">
        <v>400</v>
      </c>
      <c r="F28" s="9">
        <v>127.02</v>
      </c>
      <c r="G28" s="9">
        <v>50808</v>
      </c>
      <c r="H28" s="7">
        <v>18</v>
      </c>
      <c r="I28" s="9">
        <v>59953.440000000002</v>
      </c>
      <c r="J28" s="47" t="s">
        <v>77</v>
      </c>
      <c r="K28" s="47" t="s">
        <v>78</v>
      </c>
      <c r="L28" s="156"/>
    </row>
    <row r="29" spans="1:12" ht="45">
      <c r="A29" s="171">
        <v>26</v>
      </c>
      <c r="B29" s="102" t="s">
        <v>79</v>
      </c>
      <c r="C29" s="47"/>
      <c r="D29" s="15" t="s">
        <v>50</v>
      </c>
      <c r="E29" s="7">
        <v>300</v>
      </c>
      <c r="F29" s="9">
        <v>125</v>
      </c>
      <c r="G29" s="9">
        <v>37500</v>
      </c>
      <c r="H29" s="7">
        <v>18</v>
      </c>
      <c r="I29" s="9">
        <v>44250</v>
      </c>
      <c r="J29" s="47" t="s">
        <v>77</v>
      </c>
      <c r="K29" s="47" t="s">
        <v>78</v>
      </c>
      <c r="L29" s="156"/>
    </row>
    <row r="30" spans="1:12" ht="60">
      <c r="A30" s="171">
        <v>27</v>
      </c>
      <c r="B30" s="102" t="s">
        <v>80</v>
      </c>
      <c r="C30" s="47"/>
      <c r="D30" s="15" t="s">
        <v>50</v>
      </c>
      <c r="E30" s="7">
        <v>300</v>
      </c>
      <c r="F30" s="9">
        <v>122.55</v>
      </c>
      <c r="G30" s="9">
        <v>36765</v>
      </c>
      <c r="H30" s="7">
        <v>18</v>
      </c>
      <c r="I30" s="9">
        <v>43382.7</v>
      </c>
      <c r="J30" s="47" t="s">
        <v>77</v>
      </c>
      <c r="K30" s="47" t="s">
        <v>78</v>
      </c>
      <c r="L30" s="156"/>
    </row>
    <row r="31" spans="1:12" ht="16.5">
      <c r="A31" s="171">
        <v>28</v>
      </c>
      <c r="B31" s="102"/>
      <c r="C31" s="47"/>
      <c r="D31" s="134" t="s">
        <v>24</v>
      </c>
      <c r="E31" s="134"/>
      <c r="F31" s="134"/>
      <c r="G31" s="134"/>
      <c r="H31" s="11"/>
      <c r="I31" s="12">
        <v>147586.14000000001</v>
      </c>
      <c r="J31" s="47"/>
      <c r="K31" s="47"/>
      <c r="L31" s="156"/>
    </row>
    <row r="32" spans="1:12" ht="16.5" customHeight="1">
      <c r="A32" s="171">
        <v>29</v>
      </c>
      <c r="B32" s="102"/>
      <c r="C32" s="47"/>
      <c r="D32" s="15"/>
      <c r="E32" s="7"/>
      <c r="F32" s="9"/>
      <c r="G32" s="9"/>
      <c r="H32" s="7"/>
      <c r="I32" s="9"/>
      <c r="J32" s="47"/>
      <c r="K32" s="47"/>
      <c r="L32" s="156"/>
    </row>
    <row r="33" spans="1:12" ht="30.75">
      <c r="A33" s="171">
        <v>30</v>
      </c>
      <c r="B33" s="46" t="s">
        <v>145</v>
      </c>
      <c r="C33" s="5">
        <v>83111000</v>
      </c>
      <c r="D33" s="15" t="s">
        <v>50</v>
      </c>
      <c r="E33" s="7">
        <v>400</v>
      </c>
      <c r="F33" s="9">
        <v>92.5</v>
      </c>
      <c r="G33" s="9">
        <f>F33*E33</f>
        <v>37000</v>
      </c>
      <c r="H33" s="7">
        <v>18</v>
      </c>
      <c r="I33" s="9">
        <f>G33*(1+H33/100)</f>
        <v>43660</v>
      </c>
      <c r="J33" s="9" t="s">
        <v>150</v>
      </c>
      <c r="K33" s="48" t="s">
        <v>144</v>
      </c>
      <c r="L33" s="156"/>
    </row>
    <row r="34" spans="1:12" ht="30.75">
      <c r="A34" s="171">
        <v>31</v>
      </c>
      <c r="B34" s="46" t="s">
        <v>146</v>
      </c>
      <c r="C34" s="5">
        <v>83111000</v>
      </c>
      <c r="D34" s="15" t="s">
        <v>50</v>
      </c>
      <c r="E34" s="7">
        <v>300</v>
      </c>
      <c r="F34" s="9">
        <v>112.5</v>
      </c>
      <c r="G34" s="9">
        <f>F34*E34</f>
        <v>33750</v>
      </c>
      <c r="H34" s="7">
        <v>18</v>
      </c>
      <c r="I34" s="9">
        <f t="shared" ref="I34:I35" si="0">G34*(1+H34/100)</f>
        <v>39825</v>
      </c>
      <c r="J34" s="9" t="s">
        <v>150</v>
      </c>
      <c r="K34" s="48" t="s">
        <v>144</v>
      </c>
      <c r="L34" s="156"/>
    </row>
    <row r="35" spans="1:12" ht="30.75">
      <c r="A35" s="171">
        <v>32</v>
      </c>
      <c r="B35" s="46" t="s">
        <v>147</v>
      </c>
      <c r="C35" s="5">
        <v>83111000</v>
      </c>
      <c r="D35" s="15" t="s">
        <v>50</v>
      </c>
      <c r="E35" s="7">
        <v>300</v>
      </c>
      <c r="F35" s="9">
        <v>130</v>
      </c>
      <c r="G35" s="9">
        <f>F35*E35</f>
        <v>39000</v>
      </c>
      <c r="H35" s="7">
        <v>18</v>
      </c>
      <c r="I35" s="9">
        <f t="shared" si="0"/>
        <v>46020</v>
      </c>
      <c r="J35" s="9" t="s">
        <v>150</v>
      </c>
      <c r="K35" s="48" t="s">
        <v>144</v>
      </c>
      <c r="L35" s="156"/>
    </row>
    <row r="36" spans="1:12" ht="16.5">
      <c r="A36" s="171">
        <v>33</v>
      </c>
      <c r="B36" s="85"/>
      <c r="C36" s="105"/>
      <c r="D36" s="105"/>
      <c r="E36" s="106" t="s">
        <v>24</v>
      </c>
      <c r="F36" s="106"/>
      <c r="G36" s="106"/>
      <c r="H36" s="106"/>
      <c r="I36" s="107">
        <f>SUM(I33:I35)</f>
        <v>129505</v>
      </c>
      <c r="J36" s="106"/>
      <c r="K36" s="49"/>
      <c r="L36" s="156"/>
    </row>
    <row r="37" spans="1:12" ht="16.5">
      <c r="A37" s="171">
        <v>34</v>
      </c>
      <c r="B37" s="139" t="s">
        <v>157</v>
      </c>
      <c r="C37" s="139"/>
      <c r="D37" s="139"/>
      <c r="E37" s="139"/>
      <c r="F37" s="103"/>
      <c r="G37" s="103"/>
      <c r="H37" s="54"/>
      <c r="I37" s="56" t="s">
        <v>153</v>
      </c>
      <c r="J37" s="85"/>
      <c r="K37" s="108"/>
      <c r="L37" s="156"/>
    </row>
    <row r="38" spans="1:12" ht="30">
      <c r="A38" s="171">
        <v>35</v>
      </c>
      <c r="B38" s="101" t="s">
        <v>55</v>
      </c>
      <c r="C38" s="5">
        <v>83111000</v>
      </c>
      <c r="D38" s="15" t="s">
        <v>50</v>
      </c>
      <c r="E38" s="7">
        <v>400</v>
      </c>
      <c r="F38" s="9">
        <v>104.25</v>
      </c>
      <c r="G38" s="9">
        <f>F38*E38</f>
        <v>41700</v>
      </c>
      <c r="H38" s="7">
        <v>18</v>
      </c>
      <c r="I38" s="9">
        <f>G38*(1+H38/100)</f>
        <v>49206</v>
      </c>
      <c r="J38" s="9" t="s">
        <v>152</v>
      </c>
      <c r="K38" s="48" t="s">
        <v>144</v>
      </c>
      <c r="L38" s="156"/>
    </row>
    <row r="39" spans="1:12" ht="30">
      <c r="A39" s="171">
        <v>36</v>
      </c>
      <c r="B39" s="101" t="s">
        <v>57</v>
      </c>
      <c r="C39" s="5">
        <v>83111000</v>
      </c>
      <c r="D39" s="15" t="s">
        <v>50</v>
      </c>
      <c r="E39" s="7">
        <v>300</v>
      </c>
      <c r="F39" s="9">
        <v>106.5</v>
      </c>
      <c r="G39" s="9">
        <f>F39*E39</f>
        <v>31950</v>
      </c>
      <c r="H39" s="7">
        <v>18</v>
      </c>
      <c r="I39" s="9">
        <f t="shared" ref="I39:I40" si="1">G39*(1+H39/100)</f>
        <v>37701</v>
      </c>
      <c r="J39" s="9" t="s">
        <v>152</v>
      </c>
      <c r="K39" s="48" t="s">
        <v>144</v>
      </c>
      <c r="L39" s="156"/>
    </row>
    <row r="40" spans="1:12" ht="30">
      <c r="A40" s="171">
        <v>37</v>
      </c>
      <c r="B40" s="101" t="s">
        <v>58</v>
      </c>
      <c r="C40" s="5">
        <v>83111000</v>
      </c>
      <c r="D40" s="15" t="s">
        <v>50</v>
      </c>
      <c r="E40" s="7">
        <v>300</v>
      </c>
      <c r="F40" s="9">
        <v>88.3</v>
      </c>
      <c r="G40" s="9">
        <f>F40*E40</f>
        <v>26490</v>
      </c>
      <c r="H40" s="7">
        <v>18</v>
      </c>
      <c r="I40" s="9">
        <f t="shared" si="1"/>
        <v>31258.199999999997</v>
      </c>
      <c r="J40" s="9" t="s">
        <v>152</v>
      </c>
      <c r="K40" s="48" t="s">
        <v>144</v>
      </c>
      <c r="L40" s="156"/>
    </row>
    <row r="41" spans="1:12" ht="16.5">
      <c r="A41" s="171">
        <v>38</v>
      </c>
      <c r="B41" s="85"/>
      <c r="C41" s="105"/>
      <c r="D41" s="105"/>
      <c r="E41" s="106" t="s">
        <v>24</v>
      </c>
      <c r="F41" s="106"/>
      <c r="G41" s="106"/>
      <c r="H41" s="106"/>
      <c r="I41" s="107">
        <f>SUM(I38:I40)</f>
        <v>118165.2</v>
      </c>
      <c r="J41" s="106"/>
      <c r="K41" s="47"/>
      <c r="L41" s="156"/>
    </row>
    <row r="42" spans="1:12" ht="16.5">
      <c r="A42" s="171">
        <v>39</v>
      </c>
      <c r="B42" s="144" t="s">
        <v>156</v>
      </c>
      <c r="C42" s="144"/>
      <c r="D42" s="144"/>
      <c r="E42" s="109"/>
      <c r="F42" s="110"/>
      <c r="G42" s="110"/>
      <c r="H42" s="109"/>
      <c r="I42" s="110"/>
      <c r="J42" s="111"/>
      <c r="K42" s="112"/>
      <c r="L42" s="156"/>
    </row>
    <row r="43" spans="1:12" ht="30">
      <c r="A43" s="171">
        <v>40</v>
      </c>
      <c r="B43" s="101" t="s">
        <v>55</v>
      </c>
      <c r="C43" s="5">
        <v>83111000</v>
      </c>
      <c r="D43" s="15" t="s">
        <v>50</v>
      </c>
      <c r="E43" s="7">
        <v>400</v>
      </c>
      <c r="F43" s="9">
        <v>105</v>
      </c>
      <c r="G43" s="9">
        <v>42000</v>
      </c>
      <c r="H43" s="7">
        <v>18</v>
      </c>
      <c r="I43" s="9">
        <v>49560</v>
      </c>
      <c r="J43" s="9" t="s">
        <v>27</v>
      </c>
      <c r="K43" s="58" t="s">
        <v>56</v>
      </c>
      <c r="L43" s="156"/>
    </row>
    <row r="44" spans="1:12" ht="30">
      <c r="A44" s="171">
        <v>41</v>
      </c>
      <c r="B44" s="101" t="s">
        <v>57</v>
      </c>
      <c r="C44" s="5">
        <v>83111000</v>
      </c>
      <c r="D44" s="15" t="s">
        <v>50</v>
      </c>
      <c r="E44" s="7">
        <v>300</v>
      </c>
      <c r="F44" s="9">
        <v>106</v>
      </c>
      <c r="G44" s="9">
        <v>31800</v>
      </c>
      <c r="H44" s="7">
        <v>18</v>
      </c>
      <c r="I44" s="9">
        <v>37524</v>
      </c>
      <c r="J44" s="9" t="s">
        <v>27</v>
      </c>
      <c r="K44" s="58" t="s">
        <v>56</v>
      </c>
      <c r="L44" s="156"/>
    </row>
    <row r="45" spans="1:12" ht="30">
      <c r="A45" s="171">
        <v>42</v>
      </c>
      <c r="B45" s="101" t="s">
        <v>58</v>
      </c>
      <c r="C45" s="5">
        <v>83111000</v>
      </c>
      <c r="D45" s="15" t="s">
        <v>50</v>
      </c>
      <c r="E45" s="7">
        <v>300</v>
      </c>
      <c r="F45" s="9">
        <v>106</v>
      </c>
      <c r="G45" s="9">
        <v>31800</v>
      </c>
      <c r="H45" s="7">
        <v>18</v>
      </c>
      <c r="I45" s="9">
        <v>37524</v>
      </c>
      <c r="J45" s="9" t="s">
        <v>27</v>
      </c>
      <c r="K45" s="58" t="s">
        <v>56</v>
      </c>
      <c r="L45" s="156"/>
    </row>
    <row r="46" spans="1:12" ht="16.5">
      <c r="A46" s="171">
        <v>43</v>
      </c>
      <c r="B46" s="102"/>
      <c r="C46" s="5"/>
      <c r="D46" s="134" t="s">
        <v>24</v>
      </c>
      <c r="E46" s="134"/>
      <c r="F46" s="134"/>
      <c r="G46" s="134"/>
      <c r="H46" s="11"/>
      <c r="I46" s="12">
        <v>124608</v>
      </c>
      <c r="J46" s="9"/>
      <c r="K46" s="58"/>
      <c r="L46" s="156"/>
    </row>
    <row r="47" spans="1:12" ht="16.5">
      <c r="A47" s="171">
        <v>44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156"/>
    </row>
    <row r="48" spans="1:12" ht="16.5">
      <c r="A48" s="171">
        <v>45</v>
      </c>
      <c r="B48" s="140" t="s">
        <v>155</v>
      </c>
      <c r="C48" s="140"/>
      <c r="D48" s="140"/>
      <c r="E48" s="140"/>
      <c r="F48" s="103"/>
      <c r="G48" s="103"/>
      <c r="H48" s="54"/>
      <c r="I48" s="56"/>
      <c r="J48" s="85"/>
      <c r="K48" s="104"/>
      <c r="L48" s="156"/>
    </row>
    <row r="49" spans="1:12" ht="30">
      <c r="A49" s="171">
        <v>46</v>
      </c>
      <c r="B49" s="101" t="s">
        <v>55</v>
      </c>
      <c r="C49" s="5">
        <v>83111000</v>
      </c>
      <c r="D49" s="15" t="s">
        <v>50</v>
      </c>
      <c r="E49" s="7">
        <v>400</v>
      </c>
      <c r="F49" s="9">
        <v>135.6</v>
      </c>
      <c r="G49" s="9">
        <v>54240</v>
      </c>
      <c r="H49" s="7">
        <v>18</v>
      </c>
      <c r="I49" s="9">
        <v>64003.199999999997</v>
      </c>
      <c r="J49" s="9" t="s">
        <v>81</v>
      </c>
      <c r="K49" s="113" t="s">
        <v>82</v>
      </c>
      <c r="L49" s="156"/>
    </row>
    <row r="50" spans="1:12" ht="30">
      <c r="A50" s="171">
        <v>47</v>
      </c>
      <c r="B50" s="101" t="s">
        <v>57</v>
      </c>
      <c r="C50" s="5">
        <v>83111000</v>
      </c>
      <c r="D50" s="15" t="s">
        <v>50</v>
      </c>
      <c r="E50" s="7">
        <v>300</v>
      </c>
      <c r="F50" s="9">
        <v>108.5</v>
      </c>
      <c r="G50" s="9">
        <v>32550</v>
      </c>
      <c r="H50" s="7">
        <v>18</v>
      </c>
      <c r="I50" s="9">
        <v>38409</v>
      </c>
      <c r="J50" s="9" t="s">
        <v>81</v>
      </c>
      <c r="K50" s="113" t="s">
        <v>82</v>
      </c>
      <c r="L50" s="156"/>
    </row>
    <row r="51" spans="1:12" ht="30">
      <c r="A51" s="171">
        <v>48</v>
      </c>
      <c r="B51" s="101" t="s">
        <v>58</v>
      </c>
      <c r="C51" s="5">
        <v>83111000</v>
      </c>
      <c r="D51" s="15" t="s">
        <v>50</v>
      </c>
      <c r="E51" s="7">
        <v>300</v>
      </c>
      <c r="F51" s="9">
        <v>142.4</v>
      </c>
      <c r="G51" s="9">
        <v>42720</v>
      </c>
      <c r="H51" s="7">
        <v>18</v>
      </c>
      <c r="I51" s="9">
        <v>50409.599999999999</v>
      </c>
      <c r="J51" s="9" t="s">
        <v>81</v>
      </c>
      <c r="K51" s="113" t="s">
        <v>82</v>
      </c>
      <c r="L51" s="156"/>
    </row>
    <row r="52" spans="1:12" ht="16.5">
      <c r="A52" s="174">
        <v>49</v>
      </c>
      <c r="B52" s="175"/>
      <c r="C52" s="176"/>
      <c r="D52" s="176"/>
      <c r="E52" s="177" t="s">
        <v>24</v>
      </c>
      <c r="F52" s="177"/>
      <c r="G52" s="177"/>
      <c r="H52" s="177"/>
      <c r="I52" s="178">
        <v>152821.79999999999</v>
      </c>
      <c r="J52" s="177"/>
      <c r="K52" s="176"/>
      <c r="L52" s="157"/>
    </row>
    <row r="56" spans="1:12">
      <c r="I56" t="s">
        <v>154</v>
      </c>
    </row>
  </sheetData>
  <mergeCells count="1">
    <mergeCell ref="C1:I2"/>
  </mergeCells>
  <phoneticPr fontId="58" type="noConversion"/>
  <hyperlinks>
    <hyperlink ref="K33" r:id="rId1" display="tel:(984) 984-7406" xr:uid="{36C33CB2-1B0D-4DCD-8A20-C5F42E2F1A7F}"/>
    <hyperlink ref="K34:K35" r:id="rId2" display="tel:(984) 984-7406" xr:uid="{18B6AA11-A32B-472A-83C6-6FA12FE4B747}"/>
    <hyperlink ref="K38" r:id="rId3" display="tel:(984) 984-7406" xr:uid="{ABAC9EF4-68C7-4071-9180-ADFB85DD6A94}"/>
    <hyperlink ref="K39:K40" r:id="rId4" display="tel:(984) 984-7406" xr:uid="{D67900C7-64FE-4513-A08A-4645E989E8A7}"/>
  </hyperlinks>
  <pageMargins left="0.7" right="0.7" top="0.75" bottom="0.75" header="0.3" footer="0.3"/>
  <tableParts count="1"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CFBCF-ED8B-4DC6-9C86-D88033CEF65E}">
  <dimension ref="A1:N7"/>
  <sheetViews>
    <sheetView zoomScale="85" zoomScaleNormal="85" workbookViewId="0">
      <selection activeCell="C41" sqref="C41"/>
    </sheetView>
  </sheetViews>
  <sheetFormatPr defaultRowHeight="15"/>
  <cols>
    <col min="2" max="2" width="48.85546875" customWidth="1"/>
    <col min="3" max="3" width="11.140625" customWidth="1"/>
    <col min="4" max="4" width="14.7109375" customWidth="1"/>
    <col min="5" max="5" width="11.5703125" customWidth="1"/>
    <col min="6" max="6" width="18.7109375" customWidth="1"/>
    <col min="7" max="7" width="20.7109375" customWidth="1"/>
    <col min="8" max="8" width="15.42578125" customWidth="1"/>
    <col min="9" max="9" width="12.7109375" customWidth="1"/>
    <col min="10" max="10" width="22.5703125" customWidth="1"/>
    <col min="11" max="11" width="18.42578125" customWidth="1"/>
    <col min="12" max="12" width="12" customWidth="1"/>
    <col min="13" max="13" width="16.7109375" customWidth="1"/>
    <col min="14" max="14" width="28.42578125" customWidth="1"/>
  </cols>
  <sheetData>
    <row r="1" spans="1:14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ht="18.75">
      <c r="A2" s="190" t="s">
        <v>83</v>
      </c>
      <c r="B2" s="191"/>
      <c r="C2" s="191"/>
      <c r="D2" s="191"/>
      <c r="E2" s="191"/>
      <c r="F2" s="191"/>
      <c r="G2" s="191"/>
      <c r="H2" s="191"/>
      <c r="I2" s="191"/>
      <c r="J2" s="191"/>
      <c r="K2" s="191"/>
      <c r="L2" s="191"/>
      <c r="M2" s="191"/>
      <c r="N2" s="4"/>
    </row>
    <row r="3" spans="1:14">
      <c r="A3" s="168" t="s">
        <v>1</v>
      </c>
      <c r="B3" s="168" t="s">
        <v>2</v>
      </c>
      <c r="C3" s="168" t="s">
        <v>3</v>
      </c>
      <c r="D3" s="168" t="s">
        <v>4</v>
      </c>
      <c r="E3" s="168" t="s">
        <v>84</v>
      </c>
      <c r="F3" s="168" t="s">
        <v>48</v>
      </c>
      <c r="G3" s="169" t="s">
        <v>85</v>
      </c>
      <c r="H3" s="168" t="s">
        <v>86</v>
      </c>
      <c r="I3" s="168" t="s">
        <v>8</v>
      </c>
      <c r="J3" s="170" t="s">
        <v>87</v>
      </c>
      <c r="K3" s="169" t="s">
        <v>158</v>
      </c>
      <c r="L3" s="168" t="s">
        <v>89</v>
      </c>
      <c r="M3" s="168" t="s">
        <v>90</v>
      </c>
      <c r="N3" s="169" t="s">
        <v>165</v>
      </c>
    </row>
    <row r="4" spans="1:14" ht="15.75">
      <c r="A4" s="6">
        <v>1</v>
      </c>
      <c r="B4" s="4" t="s">
        <v>91</v>
      </c>
      <c r="C4" s="6"/>
      <c r="D4" s="6" t="s">
        <v>92</v>
      </c>
      <c r="E4" s="6">
        <v>25</v>
      </c>
      <c r="F4" s="6">
        <v>11.2</v>
      </c>
      <c r="G4" s="6">
        <f>50*F4</f>
        <v>560</v>
      </c>
      <c r="H4" s="17" t="s">
        <v>93</v>
      </c>
      <c r="I4" s="6">
        <v>18</v>
      </c>
      <c r="J4" s="6">
        <f>G4*(1+I4/100)</f>
        <v>660.8</v>
      </c>
      <c r="K4" s="43">
        <f>E4*J4</f>
        <v>16520</v>
      </c>
      <c r="L4" s="6" t="s">
        <v>94</v>
      </c>
      <c r="M4" s="6">
        <v>9848196449</v>
      </c>
      <c r="N4" s="4"/>
    </row>
    <row r="5" spans="1:14" ht="15.75">
      <c r="A5" s="6">
        <v>2</v>
      </c>
      <c r="B5" s="4" t="s">
        <v>91</v>
      </c>
      <c r="C5" s="6"/>
      <c r="D5" s="6" t="s">
        <v>92</v>
      </c>
      <c r="E5" s="6">
        <v>25</v>
      </c>
      <c r="F5" s="6">
        <v>11.5</v>
      </c>
      <c r="G5" s="6">
        <f>50*F5</f>
        <v>575</v>
      </c>
      <c r="H5" s="6" t="s">
        <v>95</v>
      </c>
      <c r="I5" s="6">
        <v>18</v>
      </c>
      <c r="J5" s="6">
        <f>G5*(1+I5/100)</f>
        <v>678.5</v>
      </c>
      <c r="K5" s="43">
        <f>E5*J5</f>
        <v>16962.5</v>
      </c>
      <c r="L5" s="6" t="s">
        <v>27</v>
      </c>
      <c r="M5" s="6">
        <v>9346696789</v>
      </c>
      <c r="N5" s="4"/>
    </row>
    <row r="6" spans="1:14" ht="15.75">
      <c r="A6" s="25">
        <v>3</v>
      </c>
      <c r="B6" s="31" t="s">
        <v>91</v>
      </c>
      <c r="C6" s="45"/>
      <c r="D6" s="45" t="s">
        <v>96</v>
      </c>
      <c r="E6" s="45">
        <v>30</v>
      </c>
      <c r="F6" s="45">
        <v>10.9</v>
      </c>
      <c r="G6" s="45">
        <f>50*F6</f>
        <v>545</v>
      </c>
      <c r="H6" s="45" t="s">
        <v>93</v>
      </c>
      <c r="I6" s="45">
        <v>5</v>
      </c>
      <c r="J6" s="45">
        <f>G6*(1+I6/100)</f>
        <v>572.25</v>
      </c>
      <c r="K6" s="43">
        <f>E6*J6</f>
        <v>17167.5</v>
      </c>
      <c r="L6" s="45" t="s">
        <v>97</v>
      </c>
      <c r="M6" s="45">
        <v>7989960246</v>
      </c>
      <c r="N6" s="52" t="s">
        <v>168</v>
      </c>
    </row>
    <row r="7" spans="1:14" ht="15.75">
      <c r="A7" s="29"/>
      <c r="C7" s="28"/>
      <c r="D7" s="28"/>
      <c r="E7" s="28"/>
      <c r="F7" s="28"/>
      <c r="G7" s="28"/>
      <c r="H7" s="28"/>
      <c r="I7" s="28"/>
      <c r="J7" s="28"/>
      <c r="K7" s="44"/>
      <c r="L7" s="28"/>
      <c r="M7" s="28"/>
    </row>
  </sheetData>
  <mergeCells count="1">
    <mergeCell ref="A2:M2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F7FD4-4BC8-42C2-979E-711A9720CDD8}">
  <dimension ref="A1:M11"/>
  <sheetViews>
    <sheetView zoomScale="85" zoomScaleNormal="85" workbookViewId="0">
      <selection activeCell="D12" sqref="D12"/>
    </sheetView>
  </sheetViews>
  <sheetFormatPr defaultRowHeight="15"/>
  <cols>
    <col min="2" max="2" width="43.140625" customWidth="1"/>
    <col min="3" max="3" width="17.42578125" customWidth="1"/>
    <col min="4" max="4" width="16" customWidth="1"/>
    <col min="5" max="5" width="22.140625" customWidth="1"/>
    <col min="6" max="6" width="23.42578125" customWidth="1"/>
    <col min="7" max="7" width="14.85546875" customWidth="1"/>
    <col min="8" max="8" width="16.28515625" customWidth="1"/>
    <col min="9" max="9" width="17.140625" customWidth="1"/>
    <col min="10" max="10" width="18.28515625" customWidth="1"/>
    <col min="11" max="11" width="18.7109375" customWidth="1"/>
    <col min="12" max="12" width="33.28515625" customWidth="1"/>
    <col min="13" max="13" width="11" customWidth="1"/>
  </cols>
  <sheetData>
    <row r="1" spans="1:13">
      <c r="A1" s="4"/>
      <c r="B1" s="4"/>
      <c r="C1" s="192" t="s">
        <v>98</v>
      </c>
      <c r="D1" s="193"/>
      <c r="E1" s="193"/>
      <c r="F1" s="193"/>
      <c r="G1" s="193"/>
      <c r="H1" s="193"/>
      <c r="I1" s="193"/>
      <c r="J1" s="4"/>
      <c r="K1" s="4"/>
      <c r="L1" s="4"/>
    </row>
    <row r="2" spans="1:13">
      <c r="A2" s="4"/>
      <c r="B2" s="4"/>
      <c r="C2" s="193"/>
      <c r="D2" s="193"/>
      <c r="E2" s="193"/>
      <c r="F2" s="193"/>
      <c r="G2" s="193"/>
      <c r="H2" s="193"/>
      <c r="I2" s="193"/>
      <c r="J2" s="4"/>
      <c r="K2" s="4"/>
      <c r="L2" s="4"/>
    </row>
    <row r="3" spans="1:13" ht="16.5">
      <c r="A3" s="166" t="s">
        <v>1</v>
      </c>
      <c r="B3" s="1" t="s">
        <v>2</v>
      </c>
      <c r="C3" s="1" t="s">
        <v>3</v>
      </c>
      <c r="D3" s="1" t="s">
        <v>4</v>
      </c>
      <c r="E3" s="1" t="s">
        <v>149</v>
      </c>
      <c r="F3" s="1" t="s">
        <v>99</v>
      </c>
      <c r="G3" s="1" t="s">
        <v>88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165</v>
      </c>
      <c r="M3" t="s">
        <v>186</v>
      </c>
    </row>
    <row r="4" spans="1:13">
      <c r="A4" s="167" t="s">
        <v>100</v>
      </c>
      <c r="B4" s="145"/>
      <c r="C4" s="145"/>
      <c r="D4" s="145"/>
      <c r="E4" s="25"/>
      <c r="F4" s="4"/>
      <c r="G4" s="4"/>
      <c r="H4" s="4"/>
      <c r="I4" s="4"/>
      <c r="J4" s="4"/>
      <c r="K4" s="4"/>
      <c r="L4" s="4"/>
    </row>
    <row r="5" spans="1:13">
      <c r="A5" s="155">
        <v>1</v>
      </c>
      <c r="B5" s="30" t="s">
        <v>101</v>
      </c>
      <c r="C5" s="25"/>
      <c r="D5" s="25" t="s">
        <v>102</v>
      </c>
      <c r="E5" s="25">
        <v>130</v>
      </c>
      <c r="F5" s="25">
        <v>34</v>
      </c>
      <c r="G5" s="25">
        <f>F5*E5</f>
        <v>4420</v>
      </c>
      <c r="H5" s="25">
        <v>18</v>
      </c>
      <c r="I5" s="25">
        <f>G5*(1+H5/100)</f>
        <v>5215.5999999999995</v>
      </c>
      <c r="J5" s="25" t="s">
        <v>103</v>
      </c>
      <c r="K5" s="25" t="s">
        <v>104</v>
      </c>
      <c r="L5" s="4"/>
    </row>
    <row r="6" spans="1:13">
      <c r="A6" s="155">
        <v>2</v>
      </c>
      <c r="B6" s="4" t="s">
        <v>105</v>
      </c>
      <c r="C6" s="4"/>
      <c r="D6" s="25" t="s">
        <v>148</v>
      </c>
      <c r="E6" s="25">
        <v>25</v>
      </c>
      <c r="F6" s="25">
        <v>900</v>
      </c>
      <c r="G6" s="25">
        <f>F6*E6</f>
        <v>22500</v>
      </c>
      <c r="H6" s="25">
        <v>18</v>
      </c>
      <c r="I6" s="25">
        <f>G6*(1+H6/100)</f>
        <v>26550</v>
      </c>
      <c r="J6" s="25" t="s">
        <v>103</v>
      </c>
      <c r="K6" s="25" t="s">
        <v>106</v>
      </c>
      <c r="L6" s="4"/>
    </row>
    <row r="7" spans="1:13">
      <c r="A7" s="155">
        <v>3</v>
      </c>
      <c r="B7" s="4"/>
      <c r="C7" s="4"/>
      <c r="D7" s="31"/>
      <c r="E7" s="24" t="s">
        <v>24</v>
      </c>
      <c r="F7" s="24"/>
      <c r="G7" s="24"/>
      <c r="H7" s="24"/>
      <c r="I7" s="24">
        <f>SUM(I5:I6)</f>
        <v>31765.599999999999</v>
      </c>
      <c r="J7" s="25"/>
      <c r="K7" s="25"/>
      <c r="L7" s="4"/>
    </row>
    <row r="8" spans="1:13">
      <c r="A8" s="167" t="s">
        <v>107</v>
      </c>
      <c r="B8" s="145"/>
      <c r="C8" s="145"/>
      <c r="D8" s="145"/>
      <c r="E8" s="25"/>
      <c r="F8" s="4"/>
      <c r="G8" s="4"/>
      <c r="H8" s="4"/>
      <c r="I8" s="4"/>
      <c r="J8" s="4"/>
      <c r="K8" s="4"/>
      <c r="L8" s="4"/>
    </row>
    <row r="9" spans="1:13" ht="30">
      <c r="A9" s="155">
        <v>4</v>
      </c>
      <c r="B9" s="32" t="s">
        <v>108</v>
      </c>
      <c r="C9" s="6"/>
      <c r="D9" s="6" t="s">
        <v>102</v>
      </c>
      <c r="E9" s="6">
        <v>135</v>
      </c>
      <c r="F9" s="6">
        <v>37.35</v>
      </c>
      <c r="G9" s="6">
        <f>F9*E9</f>
        <v>5042.25</v>
      </c>
      <c r="H9" s="6">
        <v>18</v>
      </c>
      <c r="I9" s="6">
        <f>G9*(1+H9/100)</f>
        <v>5949.8549999999996</v>
      </c>
      <c r="J9" s="6" t="s">
        <v>103</v>
      </c>
      <c r="K9" s="6">
        <v>9848196449</v>
      </c>
      <c r="L9" s="51" t="s">
        <v>167</v>
      </c>
    </row>
    <row r="10" spans="1:13">
      <c r="A10" s="155">
        <v>5</v>
      </c>
      <c r="B10" s="4" t="s">
        <v>110</v>
      </c>
      <c r="C10" s="4"/>
      <c r="D10" s="25" t="s">
        <v>109</v>
      </c>
      <c r="E10" s="25">
        <v>25</v>
      </c>
      <c r="F10" s="25">
        <v>335</v>
      </c>
      <c r="G10" s="25">
        <f>F10*E10</f>
        <v>8375</v>
      </c>
      <c r="H10" s="25">
        <v>18</v>
      </c>
      <c r="I10" s="25">
        <f>G10*(1+H10/100)</f>
        <v>9882.5</v>
      </c>
      <c r="J10" s="25" t="s">
        <v>103</v>
      </c>
      <c r="K10" s="6">
        <v>9848196449</v>
      </c>
      <c r="L10" s="4"/>
    </row>
    <row r="11" spans="1:13">
      <c r="A11" s="155">
        <v>6</v>
      </c>
      <c r="B11" s="4"/>
      <c r="C11" s="4"/>
      <c r="D11" s="31"/>
      <c r="E11" s="24" t="s">
        <v>24</v>
      </c>
      <c r="F11" s="24"/>
      <c r="G11" s="24"/>
      <c r="H11" s="24"/>
      <c r="I11" s="24">
        <f>SUM(I9:I10)</f>
        <v>15832.355</v>
      </c>
      <c r="J11" s="25"/>
      <c r="K11" s="25"/>
      <c r="L11" s="4"/>
    </row>
  </sheetData>
  <mergeCells count="1">
    <mergeCell ref="C1:I2"/>
  </mergeCells>
  <pageMargins left="0.7" right="0.7" top="0.75" bottom="0.75" header="0.3" footer="0.3"/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7117F-8538-4DB9-BEB6-56257DF569C4}">
  <dimension ref="A1:G34"/>
  <sheetViews>
    <sheetView workbookViewId="0">
      <selection activeCell="F33" sqref="F33"/>
    </sheetView>
  </sheetViews>
  <sheetFormatPr defaultRowHeight="15"/>
  <cols>
    <col min="1" max="1" width="17.140625" customWidth="1"/>
    <col min="2" max="2" width="69.28515625" customWidth="1"/>
    <col min="3" max="3" width="16.140625" customWidth="1"/>
    <col min="4" max="4" width="11" customWidth="1"/>
    <col min="5" max="5" width="17.7109375" customWidth="1"/>
    <col min="6" max="6" width="18.5703125" customWidth="1"/>
    <col min="7" max="7" width="28.5703125" customWidth="1"/>
  </cols>
  <sheetData>
    <row r="1" spans="1:7" ht="21">
      <c r="A1" s="194" t="s">
        <v>111</v>
      </c>
      <c r="B1" s="195"/>
      <c r="C1" s="195"/>
      <c r="D1" s="195"/>
      <c r="E1" s="195"/>
      <c r="F1" s="195"/>
      <c r="G1" s="195"/>
    </row>
    <row r="2" spans="1:7">
      <c r="A2" t="s">
        <v>186</v>
      </c>
      <c r="B2" t="s">
        <v>187</v>
      </c>
      <c r="C2" t="s">
        <v>188</v>
      </c>
      <c r="D2" t="s">
        <v>189</v>
      </c>
      <c r="E2" t="s">
        <v>190</v>
      </c>
      <c r="F2" t="s">
        <v>191</v>
      </c>
      <c r="G2" t="s">
        <v>192</v>
      </c>
    </row>
    <row r="4" spans="1:7" ht="15.75">
      <c r="A4" s="146" t="s">
        <v>181</v>
      </c>
      <c r="B4" s="146"/>
    </row>
    <row r="5" spans="1:7">
      <c r="A5" s="33" t="s">
        <v>112</v>
      </c>
      <c r="B5" s="33" t="s">
        <v>113</v>
      </c>
      <c r="C5" s="33" t="s">
        <v>114</v>
      </c>
      <c r="D5" s="33" t="s">
        <v>5</v>
      </c>
      <c r="E5" s="33" t="s">
        <v>115</v>
      </c>
      <c r="F5" s="33" t="s">
        <v>116</v>
      </c>
      <c r="G5" s="33" t="s">
        <v>117</v>
      </c>
    </row>
    <row r="6" spans="1:7">
      <c r="A6" s="34">
        <v>1</v>
      </c>
      <c r="B6" s="35" t="s">
        <v>118</v>
      </c>
      <c r="C6" s="34" t="s">
        <v>119</v>
      </c>
      <c r="D6" s="34">
        <v>1</v>
      </c>
      <c r="E6" s="36">
        <v>135000</v>
      </c>
      <c r="F6" s="36">
        <v>130000</v>
      </c>
      <c r="G6" s="36">
        <f>D6*F6</f>
        <v>130000</v>
      </c>
    </row>
    <row r="7" spans="1:7">
      <c r="A7" s="34">
        <v>2</v>
      </c>
      <c r="B7" s="35" t="s">
        <v>120</v>
      </c>
      <c r="C7" s="34" t="s">
        <v>121</v>
      </c>
      <c r="D7" s="34">
        <v>1</v>
      </c>
      <c r="E7" s="36">
        <v>125000</v>
      </c>
      <c r="F7" s="36">
        <v>120000</v>
      </c>
      <c r="G7" s="36">
        <f>D7*F7</f>
        <v>120000</v>
      </c>
    </row>
    <row r="8" spans="1:7">
      <c r="B8" s="37" t="s">
        <v>122</v>
      </c>
      <c r="G8" s="38">
        <f>SUM(G6:G7)</f>
        <v>250000</v>
      </c>
    </row>
    <row r="9" spans="1:7">
      <c r="B9" s="37" t="s">
        <v>123</v>
      </c>
      <c r="G9" s="38">
        <f>G8*0.18</f>
        <v>45000</v>
      </c>
    </row>
    <row r="10" spans="1:7" ht="15.75" thickBot="1">
      <c r="B10" s="37" t="s">
        <v>124</v>
      </c>
      <c r="G10" s="39">
        <f>G8+G9</f>
        <v>295000</v>
      </c>
    </row>
    <row r="11" spans="1:7" ht="15.75" thickTop="1"/>
    <row r="12" spans="1:7">
      <c r="B12" s="37" t="s">
        <v>125</v>
      </c>
    </row>
    <row r="13" spans="1:7">
      <c r="B13" s="40" t="s">
        <v>126</v>
      </c>
    </row>
    <row r="14" spans="1:7">
      <c r="B14" s="40" t="s">
        <v>127</v>
      </c>
    </row>
    <row r="15" spans="1:7">
      <c r="B15" s="40" t="s">
        <v>128</v>
      </c>
    </row>
    <row r="16" spans="1:7" ht="24.75">
      <c r="B16" s="41" t="s">
        <v>129</v>
      </c>
    </row>
    <row r="17" spans="1:7">
      <c r="B17" s="40" t="s">
        <v>130</v>
      </c>
    </row>
    <row r="18" spans="1:7">
      <c r="B18" s="40" t="s">
        <v>131</v>
      </c>
    </row>
    <row r="21" spans="1:7" ht="15.75">
      <c r="A21" s="146" t="s">
        <v>180</v>
      </c>
      <c r="B21" s="147"/>
    </row>
    <row r="22" spans="1:7">
      <c r="A22" s="33" t="s">
        <v>112</v>
      </c>
      <c r="B22" s="33" t="s">
        <v>113</v>
      </c>
      <c r="C22" s="33" t="s">
        <v>114</v>
      </c>
      <c r="D22" s="33" t="s">
        <v>5</v>
      </c>
      <c r="E22" s="33" t="s">
        <v>115</v>
      </c>
      <c r="F22" s="33" t="s">
        <v>116</v>
      </c>
      <c r="G22" s="33" t="s">
        <v>117</v>
      </c>
    </row>
    <row r="23" spans="1:7" ht="30">
      <c r="A23" s="34">
        <v>1</v>
      </c>
      <c r="B23" s="42" t="s">
        <v>132</v>
      </c>
      <c r="C23" s="34" t="s">
        <v>133</v>
      </c>
      <c r="D23" s="34">
        <v>1</v>
      </c>
      <c r="E23" s="36">
        <v>88000</v>
      </c>
      <c r="F23" s="36">
        <v>88000</v>
      </c>
      <c r="G23" s="36">
        <f>D23*F23</f>
        <v>88000</v>
      </c>
    </row>
    <row r="24" spans="1:7">
      <c r="A24" s="34">
        <v>2</v>
      </c>
      <c r="B24" s="35" t="s">
        <v>134</v>
      </c>
      <c r="C24" s="34" t="s">
        <v>135</v>
      </c>
      <c r="D24" s="34">
        <v>1</v>
      </c>
      <c r="E24" s="36">
        <v>5500</v>
      </c>
      <c r="F24" s="36">
        <v>5500</v>
      </c>
      <c r="G24" s="36">
        <f>D24*F24</f>
        <v>5500</v>
      </c>
    </row>
    <row r="25" spans="1:7">
      <c r="B25" s="37" t="s">
        <v>122</v>
      </c>
      <c r="G25" s="38">
        <f>SUM(G23:G24)</f>
        <v>93500</v>
      </c>
    </row>
    <row r="26" spans="1:7">
      <c r="B26" s="37" t="s">
        <v>123</v>
      </c>
      <c r="G26" s="38">
        <f>G25*0.18</f>
        <v>16830</v>
      </c>
    </row>
    <row r="27" spans="1:7" ht="15.75" thickBot="1">
      <c r="B27" s="37" t="s">
        <v>136</v>
      </c>
      <c r="G27" s="39">
        <f>G25+G26</f>
        <v>110330</v>
      </c>
    </row>
    <row r="28" spans="1:7" ht="15.75" thickTop="1"/>
    <row r="29" spans="1:7">
      <c r="B29" s="37" t="s">
        <v>142</v>
      </c>
    </row>
    <row r="30" spans="1:7">
      <c r="B30" s="40" t="s">
        <v>137</v>
      </c>
    </row>
    <row r="31" spans="1:7">
      <c r="B31" s="40" t="s">
        <v>138</v>
      </c>
    </row>
    <row r="32" spans="1:7">
      <c r="B32" s="40" t="s">
        <v>139</v>
      </c>
    </row>
    <row r="33" spans="2:2">
      <c r="B33" s="40" t="s">
        <v>140</v>
      </c>
    </row>
    <row r="34" spans="2:2">
      <c r="B34" s="40" t="s">
        <v>141</v>
      </c>
    </row>
  </sheetData>
  <mergeCells count="1">
    <mergeCell ref="A1:G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2406D-F2AB-44A6-88BA-25D630E5CAFC}">
  <dimension ref="A1:L20"/>
  <sheetViews>
    <sheetView tabSelected="1" topLeftCell="B1" zoomScaleNormal="100" workbookViewId="0">
      <selection activeCell="B4" sqref="B4"/>
    </sheetView>
  </sheetViews>
  <sheetFormatPr defaultRowHeight="15"/>
  <cols>
    <col min="2" max="2" width="57.140625" customWidth="1"/>
    <col min="3" max="3" width="17.42578125" customWidth="1"/>
    <col min="5" max="5" width="17" customWidth="1"/>
    <col min="6" max="6" width="21.85546875" customWidth="1"/>
    <col min="7" max="7" width="19.7109375" customWidth="1"/>
    <col min="8" max="8" width="10" customWidth="1"/>
    <col min="9" max="9" width="15.42578125" customWidth="1"/>
    <col min="10" max="10" width="16.5703125" customWidth="1"/>
    <col min="11" max="11" width="16.42578125" customWidth="1"/>
    <col min="12" max="12" width="28.28515625" customWidth="1"/>
  </cols>
  <sheetData>
    <row r="1" spans="1:12" ht="18.75">
      <c r="A1" s="180" t="s">
        <v>159</v>
      </c>
      <c r="B1" s="181"/>
      <c r="C1" s="181"/>
      <c r="D1" s="181"/>
      <c r="E1" s="181"/>
      <c r="F1" s="181"/>
      <c r="G1" s="181"/>
      <c r="H1" s="181"/>
      <c r="I1" s="181"/>
      <c r="J1" s="181"/>
      <c r="K1" s="182"/>
      <c r="L1" s="4"/>
    </row>
    <row r="2" spans="1:12">
      <c r="A2" s="161" t="s">
        <v>1</v>
      </c>
      <c r="B2" s="161" t="s">
        <v>2</v>
      </c>
      <c r="C2" s="161" t="s">
        <v>3</v>
      </c>
      <c r="D2" s="162" t="s">
        <v>4</v>
      </c>
      <c r="E2" s="163" t="s">
        <v>161</v>
      </c>
      <c r="F2" s="164" t="s">
        <v>178</v>
      </c>
      <c r="G2" s="165" t="s">
        <v>7</v>
      </c>
      <c r="H2" s="161" t="s">
        <v>8</v>
      </c>
      <c r="I2" s="164" t="s">
        <v>158</v>
      </c>
      <c r="J2" s="163" t="s">
        <v>162</v>
      </c>
      <c r="K2" s="161" t="s">
        <v>90</v>
      </c>
      <c r="L2" s="164" t="s">
        <v>165</v>
      </c>
    </row>
    <row r="3" spans="1:12" ht="15.75">
      <c r="A3" s="126"/>
      <c r="B3" s="158" t="s">
        <v>176</v>
      </c>
      <c r="C3" s="159"/>
      <c r="D3" s="124"/>
      <c r="E3" s="125"/>
      <c r="F3" s="125"/>
      <c r="G3" s="126"/>
      <c r="H3" s="123"/>
      <c r="I3" s="127"/>
      <c r="J3" s="125"/>
      <c r="K3" s="123"/>
      <c r="L3" s="127"/>
    </row>
    <row r="4" spans="1:12" ht="15.75">
      <c r="A4" s="6">
        <v>1</v>
      </c>
      <c r="B4" s="4" t="s">
        <v>160</v>
      </c>
      <c r="C4" s="6">
        <v>7318</v>
      </c>
      <c r="D4" s="6"/>
      <c r="E4" s="50">
        <v>1000</v>
      </c>
      <c r="F4" s="6">
        <v>9.9</v>
      </c>
      <c r="G4" s="6">
        <f>F4*E4</f>
        <v>9900</v>
      </c>
      <c r="H4" s="6">
        <v>18</v>
      </c>
      <c r="I4" s="43">
        <f>G4*(1+H4/100)</f>
        <v>11682</v>
      </c>
      <c r="J4" s="6" t="s">
        <v>94</v>
      </c>
      <c r="K4" s="6">
        <v>9100868002</v>
      </c>
      <c r="L4" s="52" t="s">
        <v>166</v>
      </c>
    </row>
    <row r="5" spans="1:12" ht="15.75">
      <c r="A5" s="6"/>
      <c r="B5" s="158" t="s">
        <v>177</v>
      </c>
      <c r="C5" s="160"/>
      <c r="D5" s="6"/>
      <c r="E5" s="50"/>
      <c r="F5" s="6"/>
      <c r="G5" s="6"/>
      <c r="H5" s="6"/>
      <c r="I5" s="43"/>
      <c r="J5" s="6"/>
      <c r="K5" s="6"/>
      <c r="L5" s="128"/>
    </row>
    <row r="6" spans="1:12" ht="15.75">
      <c r="A6" s="6">
        <v>2</v>
      </c>
      <c r="B6" s="4" t="s">
        <v>160</v>
      </c>
      <c r="C6" s="6">
        <v>7318</v>
      </c>
      <c r="D6" s="6"/>
      <c r="E6" s="50">
        <v>1000</v>
      </c>
      <c r="F6" s="6">
        <v>11.8</v>
      </c>
      <c r="G6" s="6">
        <f>F6*E6</f>
        <v>11800</v>
      </c>
      <c r="H6" s="6">
        <v>18</v>
      </c>
      <c r="I6" s="43">
        <f>G6*(1+H6/100)</f>
        <v>13924</v>
      </c>
      <c r="J6" s="6" t="s">
        <v>163</v>
      </c>
      <c r="K6" s="6" t="s">
        <v>164</v>
      </c>
      <c r="L6" s="4"/>
    </row>
    <row r="7" spans="1:12" ht="15.75">
      <c r="A7" s="25"/>
      <c r="B7" s="31"/>
      <c r="C7" s="45"/>
      <c r="D7" s="6"/>
      <c r="E7" s="45"/>
      <c r="F7" s="45"/>
      <c r="G7" s="45"/>
      <c r="H7" s="45"/>
      <c r="I7" s="43"/>
      <c r="J7" s="45"/>
      <c r="K7" s="45"/>
      <c r="L7" s="4"/>
    </row>
    <row r="20" spans="3:3">
      <c r="C20" s="129"/>
    </row>
  </sheetData>
  <mergeCells count="1">
    <mergeCell ref="A1:K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Cutting &amp; Grinding wheels</vt:lpstr>
      <vt:lpstr>Welding Rods _Quotation</vt:lpstr>
      <vt:lpstr>Bentonite Powder</vt:lpstr>
      <vt:lpstr>Foam Sheet &amp; Gum</vt:lpstr>
      <vt:lpstr>Barbending Machine &amp; Vibrator</vt:lpstr>
      <vt:lpstr>MS Bolts &amp; Nuts with washer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2026-10-09T03:43:09Z</dcterms:created>
  <dcterms:modified xsi:type="dcterms:W3CDTF">2026-10-25T06:22:16Z</dcterms:modified>
</cp:coreProperties>
</file>