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urchase_List_October_2026\Master Quotations_October_2026\Quotations and finaliezed bills_From Date_17-10-2026 to 23 -10-2026\"/>
    </mc:Choice>
  </mc:AlternateContent>
  <xr:revisionPtr revIDLastSave="0" documentId="13_ncr:1_{26DF6B76-1E20-406B-B6A8-A0D7B830C012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Amar Jyoti Machinery" sheetId="1" r:id="rId1"/>
    <sheet name="SA Engineering" sheetId="2" r:id="rId2"/>
    <sheet name="Maxxinc" sheetId="3" r:id="rId3"/>
    <sheet name="Altech Construction Equipmen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  <c r="G5" i="4"/>
  <c r="G4" i="4"/>
  <c r="G6" i="4" s="1"/>
  <c r="G7" i="4" l="1"/>
  <c r="G8" i="4"/>
  <c r="G17" i="3"/>
  <c r="F17" i="2"/>
</calcChain>
</file>

<file path=xl/sharedStrings.xml><?xml version="1.0" encoding="utf-8"?>
<sst xmlns="http://schemas.openxmlformats.org/spreadsheetml/2006/main" count="120" uniqueCount="96">
  <si>
    <t>ESTIMATE DETAILS</t>
  </si>
  <si>
    <t>VENDOR DETAILS</t>
  </si>
  <si>
    <t>BUYER DETAILS</t>
  </si>
  <si>
    <t>AMAR JYOTI MACHINERY CORPORATION</t>
  </si>
  <si>
    <t>KRISHI INFRATECH</t>
  </si>
  <si>
    <t>11-176/1 FATHENAGAR MAIN ROAD, HYDERABAD</t>
  </si>
  <si>
    <t>Srikakulam, AP</t>
  </si>
  <si>
    <t>Phone no.: 9052290035 | Email: amarjyoti.mc@gmail.com</t>
  </si>
  <si>
    <t>GSTIN: 36ABLPA4029M1ZL | State: 36-Telangana</t>
  </si>
  <si>
    <t>Estimate No.:</t>
  </si>
  <si>
    <t>Date:</t>
  </si>
  <si>
    <t>21-10-2026</t>
  </si>
  <si>
    <t>Item Name</t>
  </si>
  <si>
    <t>HSN/SAC</t>
  </si>
  <si>
    <t>Quantity</t>
  </si>
  <si>
    <t>Unit</t>
  </si>
  <si>
    <t>Price/Unit</t>
  </si>
  <si>
    <t>GST</t>
  </si>
  <si>
    <t>Amount</t>
  </si>
  <si>
    <t>32mm heavy duty bar bending machine with phase protector and suitable Electricals. AMTEK make</t>
  </si>
  <si>
    <t>Nos</t>
  </si>
  <si>
    <t>32mm heavy duty bar cutting machine with phase protector. (AMTEK MAKE)</t>
  </si>
  <si>
    <t>2hp 1phase heavy duty concrete vibrator with 40mm needle. (AMTEK MAKE)</t>
  </si>
  <si>
    <t>Sub Total</t>
  </si>
  <si>
    <t>SGST @ 9.0%</t>
  </si>
  <si>
    <t>CGST @ 9.0%</t>
  </si>
  <si>
    <t>Total</t>
  </si>
  <si>
    <t>Amount in Words:</t>
  </si>
  <si>
    <t>One Lakh Sixty Eight Thousand Two Hundred and Sixty Eight Rupees only</t>
  </si>
  <si>
    <t>QUOTATION DETAILS</t>
  </si>
  <si>
    <t>SA ENGINEERING</t>
  </si>
  <si>
    <t>M/S KRISHI INFRATECH</t>
  </si>
  <si>
    <t>1-3-631, KOTHABAZAR, KAVADIGUDA, HYDERABAD, TELANGANA, 500080</t>
  </si>
  <si>
    <t>Mobile: 6281068801 | Email: sharukh3705@gmail.com</t>
  </si>
  <si>
    <t>GSTIN: 36OTAPS2448F1ZB</t>
  </si>
  <si>
    <t>Quotation No.:</t>
  </si>
  <si>
    <t>QUO 697</t>
  </si>
  <si>
    <t>21/10/2026</t>
  </si>
  <si>
    <t>S.No.</t>
  </si>
  <si>
    <t>Item Code</t>
  </si>
  <si>
    <t>Item Details</t>
  </si>
  <si>
    <t>Price</t>
  </si>
  <si>
    <t>8462</t>
  </si>
  <si>
    <t>BAR BENDING MACHINE
Up to 32MM Regular Bending
5Hp Brake Motor copper winding
3Phase Supply mechine
400kg Weight Mechine
Heavy duty Mechine
Hi-tech Make</t>
  </si>
  <si>
    <t>BAR CUTTING MACHINE
Up to 32MM Regular Cutting
5Hp Motor copper winding
3Phase Supply mechine
400kg Weight Mechine
Heavy duty Mechine
Hi-tech Make</t>
  </si>
  <si>
    <t>9024</t>
  </si>
  <si>
    <t>Handy Vibrator with 3 Meter Needle
2000Watts Vibrator with 3Meter 35mm needle</t>
  </si>
  <si>
    <t>Subtotal</t>
  </si>
  <si>
    <t>GST Tax (18%)</t>
  </si>
  <si>
    <t>BUYER / CONSIGNEE DETAILS</t>
  </si>
  <si>
    <t>MAXXINC (26-27)</t>
  </si>
  <si>
    <t>Krishi Infratech</t>
  </si>
  <si>
    <t>26-1-7, BOWDARAMAIN ROAD, COMMERCE HOUSE, VISAKHAPATNAM</t>
  </si>
  <si>
    <t>6-2-191, D L Road, Hindupur, Ananthapuramu</t>
  </si>
  <si>
    <t>PH: 9848035002</t>
  </si>
  <si>
    <t>GSTIN/UIN: 37AALFK7884R1Z1 | State: Andhra Pradesh (37)</t>
  </si>
  <si>
    <t>GSTIN/UIN: 37ASQPJ7618B1ZK | State: Andhra Pradesh (37)</t>
  </si>
  <si>
    <t>Invoice/Quo No.:</t>
  </si>
  <si>
    <t>Dated:</t>
  </si>
  <si>
    <t>21-Oct-26</t>
  </si>
  <si>
    <t>Sl No.</t>
  </si>
  <si>
    <t>Description of Goods</t>
  </si>
  <si>
    <t>GST Rate</t>
  </si>
  <si>
    <t>Rate per</t>
  </si>
  <si>
    <t>BAR BENDING MACHINE XLNT XTBTM250 4-32 MM</t>
  </si>
  <si>
    <t>18 %</t>
  </si>
  <si>
    <t>BAR CUTTING MACHINE XTHDBCM83 4-32MM</t>
  </si>
  <si>
    <t>84615029</t>
  </si>
  <si>
    <t>CONCRETE VIBRATOR M/C'S [XLNT]</t>
  </si>
  <si>
    <t>8467</t>
  </si>
  <si>
    <t>VIBRATOR NEEDLE 40MM X 6 MTR</t>
  </si>
  <si>
    <t>ELECTRIC VIBRATOR XLNT XL 233 HEAVY WITH 3 MTR NEEDLE</t>
  </si>
  <si>
    <t>84678990</t>
  </si>
  <si>
    <t>INR One Lakh Seventy Eight Thousand Six Hundred Thirty Only</t>
  </si>
  <si>
    <t>S No</t>
  </si>
  <si>
    <t>1. ALTECH CONSTRUCTION EQUIPMENTS,Hydarabad,9985097685</t>
  </si>
  <si>
    <t>Item Description / Specifications</t>
  </si>
  <si>
    <t>Model/Code</t>
  </si>
  <si>
    <t>Qty</t>
  </si>
  <si>
    <t>Original Price</t>
  </si>
  <si>
    <t>Discounted Price</t>
  </si>
  <si>
    <t>Total (Excl. GST)</t>
  </si>
  <si>
    <t>Bar Cutting Machine (6mm-40mm, 4KW, 2880rpm, 520kg)</t>
  </si>
  <si>
    <t>ACE-GQ50/C50</t>
  </si>
  <si>
    <t>Bar Bending Machine (32mm rebar, 5HP/3.75kW, 340kg)</t>
  </si>
  <si>
    <t>Ace-B42</t>
  </si>
  <si>
    <t>GST (18% Extra)</t>
  </si>
  <si>
    <t>Grand Total (Estimated)</t>
  </si>
  <si>
    <t>Terms &amp; Conditions (Altech):</t>
  </si>
  <si>
    <t>• Delivery: Ready Stock</t>
  </si>
  <si>
    <t>• Payment: 100% advance payment</t>
  </si>
  <si>
    <t>• Price: Ex-Showroom Hyderabad</t>
  </si>
  <si>
    <t>• Warranty: 6 Months against manufacturing defects only (excludes rubber, wear parts, electricals)</t>
  </si>
  <si>
    <t>• Validity: 30 Days</t>
  </si>
  <si>
    <t>• Transportation: Extra</t>
  </si>
  <si>
    <t>APPROVED THIS QUOTATION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</si>
</sst>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 &quot;#,##0.00"/>
    <numFmt numFmtId="165" formatCode="\₹#,##0.00"/>
  </numFmts>
  <fonts count="12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b/>
      <sz val="12"/>
      <color rgb="FF1F497D"/>
      <name val="Segoe UI"/>
    </font>
    <font>
      <b/>
      <sz val="10"/>
      <name val="Segoe UI"/>
    </font>
    <font>
      <sz val="10"/>
      <name val="Segoe UI"/>
    </font>
    <font>
      <b/>
      <sz val="11"/>
      <color rgb="FFFFFFFF"/>
      <name val="Segoe UI"/>
    </font>
    <font>
      <b/>
      <sz val="12"/>
      <color rgb="FF1F497D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i/>
      <sz val="9"/>
      <color rgb="FF595959"/>
      <name val="Calibri"/>
      <family val="2"/>
    </font>
    <font>
      <b/>
      <sz val="10"/>
      <name val="Segoe U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/>
    <xf numFmtId="164" fontId="3" fillId="3" borderId="2" xfId="0" applyNumberFormat="1" applyFont="1" applyFill="1" applyBorder="1" applyAlignment="1">
      <alignment horizontal="right" vertical="center"/>
    </xf>
    <xf numFmtId="0" fontId="1" fillId="0" borderId="3" xfId="0" applyFont="1" applyBorder="1"/>
    <xf numFmtId="0" fontId="0" fillId="0" borderId="3" xfId="0" applyBorder="1"/>
    <xf numFmtId="0" fontId="2" fillId="0" borderId="3" xfId="0" applyFont="1" applyBorder="1"/>
    <xf numFmtId="0" fontId="3" fillId="0" borderId="3" xfId="0" applyFont="1" applyBorder="1"/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/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0" fillId="0" borderId="3" xfId="0" applyFont="1" applyBorder="1"/>
    <xf numFmtId="0" fontId="0" fillId="0" borderId="4" xfId="0" applyBorder="1"/>
    <xf numFmtId="0" fontId="3" fillId="0" borderId="4" xfId="0" applyFont="1" applyBorder="1"/>
    <xf numFmtId="0" fontId="4" fillId="0" borderId="4" xfId="0" applyFont="1" applyBorder="1" applyAlignment="1">
      <alignment horizontal="center" vertical="center"/>
    </xf>
    <xf numFmtId="0" fontId="0" fillId="0" borderId="5" xfId="0" applyBorder="1"/>
    <xf numFmtId="164" fontId="4" fillId="0" borderId="5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3" borderId="5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left" vertical="center" wrapText="1"/>
    </xf>
    <xf numFmtId="164" fontId="10" fillId="0" borderId="3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0" fontId="11" fillId="0" borderId="4" xfId="0" applyFont="1" applyBorder="1"/>
    <xf numFmtId="0" fontId="11" fillId="0" borderId="3" xfId="0" applyFont="1" applyBorder="1"/>
    <xf numFmtId="164" fontId="10" fillId="0" borderId="5" xfId="0" applyNumberFormat="1" applyFont="1" applyBorder="1" applyAlignment="1">
      <alignment horizontal="right" vertical="center"/>
    </xf>
    <xf numFmtId="0" fontId="11" fillId="0" borderId="9" xfId="0" applyFont="1" applyBorder="1"/>
    <xf numFmtId="0" fontId="11" fillId="0" borderId="10" xfId="0" applyFont="1" applyBorder="1"/>
    <xf numFmtId="0" fontId="10" fillId="3" borderId="10" xfId="0" applyFont="1" applyFill="1" applyBorder="1"/>
    <xf numFmtId="164" fontId="10" fillId="3" borderId="11" xfId="0" applyNumberFormat="1" applyFont="1" applyFill="1" applyBorder="1" applyAlignment="1">
      <alignment horizontal="right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right" vertical="center"/>
    </xf>
    <xf numFmtId="165" fontId="0" fillId="0" borderId="5" xfId="0" applyNumberFormat="1" applyBorder="1" applyAlignment="1">
      <alignment horizontal="right" vertical="center"/>
    </xf>
    <xf numFmtId="0" fontId="8" fillId="0" borderId="3" xfId="0" applyFont="1" applyBorder="1"/>
    <xf numFmtId="165" fontId="8" fillId="0" borderId="5" xfId="0" applyNumberFormat="1" applyFont="1" applyBorder="1" applyAlignment="1">
      <alignment horizontal="right" vertical="center"/>
    </xf>
    <xf numFmtId="165" fontId="8" fillId="5" borderId="5" xfId="0" applyNumberFormat="1" applyFont="1" applyFill="1" applyBorder="1" applyAlignment="1">
      <alignment horizontal="right" vertical="center"/>
    </xf>
    <xf numFmtId="0" fontId="9" fillId="0" borderId="3" xfId="0" applyFont="1" applyBorder="1"/>
    <xf numFmtId="0" fontId="9" fillId="0" borderId="3" xfId="0" applyFont="1" applyBorder="1" applyAlignment="1">
      <alignment wrapText="1"/>
    </xf>
    <xf numFmtId="0" fontId="9" fillId="0" borderId="10" xfId="0" applyFont="1" applyBorder="1"/>
    <xf numFmtId="0" fontId="11" fillId="6" borderId="11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3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rgb="FF595959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F5597"/>
          <bgColor rgb="FF2F5597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</dxf>
    <dxf>
      <font>
        <b/>
      </font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Segoe UI"/>
        <scheme val="none"/>
      </font>
      <fill>
        <patternFill patternType="solid">
          <fgColor rgb="FF1F497D"/>
          <bgColor rgb="FF1F497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3D2F99-5225-477D-A6D5-652C512EA996}" name="Table3" displayName="Table3" ref="A11:H21" totalsRowShown="0" headerRowDxfId="23" headerRowBorderDxfId="22" tableBorderDxfId="21" totalsRowBorderDxfId="20">
  <autoFilter ref="A11:H21" xr:uid="{CF3D2F99-5225-477D-A6D5-652C512EA996}"/>
  <tableColumns count="8">
    <tableColumn id="1" xr3:uid="{5EEED208-E551-4E8D-9DB3-7C5DF4773138}" name="S No" dataDxfId="19"/>
    <tableColumn id="2" xr3:uid="{5F074C90-5851-4C4D-ABCF-3D66E08BD569}" name="Item Name" dataDxfId="18"/>
    <tableColumn id="3" xr3:uid="{B3D18E6C-651C-4A22-8244-26922C1ACDD9}" name="HSN/SAC" dataDxfId="17"/>
    <tableColumn id="4" xr3:uid="{F26C0A8C-DE83-4BA4-A47D-FA94A9D1B4A5}" name="Quantity" dataDxfId="16"/>
    <tableColumn id="5" xr3:uid="{12A2BF8C-33D0-4F8B-9B70-674674A0A6EC}" name="Unit" dataDxfId="15"/>
    <tableColumn id="6" xr3:uid="{43E5E670-77A3-4311-A2F3-9819A3DD959B}" name="Price/Unit" dataDxfId="14"/>
    <tableColumn id="7" xr3:uid="{DDA6E310-69AE-40D1-9CEB-5EF75908058F}" name="GST" dataDxfId="13"/>
    <tableColumn id="8" xr3:uid="{1436B8EF-8EAB-4356-A9F2-6DD4443CC9D0}" name="Amount" dataDxf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837F009-5EE4-4F33-99F0-9881D7406E33}" name="Table4" displayName="Table4" ref="A11:F17" totalsRowShown="0" headerRowDxfId="34" dataDxfId="32" headerRowBorderDxfId="33" tableBorderDxfId="31" totalsRowBorderDxfId="30">
  <autoFilter ref="A11:F17" xr:uid="{C837F009-5EE4-4F33-99F0-9881D7406E33}"/>
  <tableColumns count="6">
    <tableColumn id="1" xr3:uid="{1D5EE62C-3F10-4738-B900-D495835A7E15}" name="S.No." dataDxfId="29"/>
    <tableColumn id="2" xr3:uid="{0B68D1BC-13AF-48F6-9F7C-30D6B0ACBBDF}" name="Item Code" dataDxfId="28"/>
    <tableColumn id="3" xr3:uid="{55F696FA-2145-443B-ABE3-2AD7BBB55A18}" name="Item Details" dataDxfId="27"/>
    <tableColumn id="4" xr3:uid="{BD103DFC-A757-4B16-B0EA-B89CD8EA39E9}" name="Quantity" dataDxfId="26"/>
    <tableColumn id="5" xr3:uid="{AA56915F-8535-4068-8037-EFEBB66E78A5}" name="Price" dataDxfId="25"/>
    <tableColumn id="6" xr3:uid="{9ACA4EB6-64ED-44A0-82EA-A9CA9E52D754}" name="Total" dataDxfId="2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954F4B-FE3D-415C-99E2-B626A809F761}" name="Table5" displayName="Table5" ref="A11:G20" totalsRowShown="0" headerRowDxfId="11">
  <autoFilter ref="A11:G20" xr:uid="{EE954F4B-FE3D-415C-99E2-B626A809F761}"/>
  <tableColumns count="7">
    <tableColumn id="1" xr3:uid="{8B0FD278-B0BD-4778-A4BA-DBBBFD9E3C85}" name="Sl No."/>
    <tableColumn id="2" xr3:uid="{89027179-7412-4549-AFE9-4C66CBD2CFBC}" name="Description of Goods"/>
    <tableColumn id="3" xr3:uid="{303C4B82-5F6B-46D2-B540-1126704D18CF}" name="HSN/SAC"/>
    <tableColumn id="4" xr3:uid="{14960879-6B19-4CBE-9D43-67820B0C03CC}" name="GST Rate"/>
    <tableColumn id="5" xr3:uid="{BCA48CA9-FB19-4BC8-A8FC-6BC8205A77D4}" name="Quantity"/>
    <tableColumn id="6" xr3:uid="{E715DE5B-FD06-476F-97C3-33D070BF6092}" name="Rate per"/>
    <tableColumn id="7" xr3:uid="{F6DCD94B-78F4-4FBD-82C4-11DE5F29C1F6}" name="Amou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A7C464-9B18-438F-BAED-F60681931F5C}" name="Table7" displayName="Table7" ref="A3:G16" totalsRowShown="0" headerRowDxfId="10" headerRowBorderDxfId="9" tableBorderDxfId="8" totalsRowBorderDxfId="7">
  <autoFilter ref="A3:G16" xr:uid="{39A7C464-9B18-438F-BAED-F60681931F5C}"/>
  <tableColumns count="7">
    <tableColumn id="1" xr3:uid="{30725AE4-2789-48A4-8CF9-C878C1879556}" name="S.No." dataDxfId="6"/>
    <tableColumn id="2" xr3:uid="{C28BFD16-DF0D-4DA0-BB1D-C3EEF425F702}" name="Item Description / Specifications" dataDxfId="5"/>
    <tableColumn id="3" xr3:uid="{CF1BDB38-EB88-4ED4-AE89-109835D20D61}" name="Model/Code" dataDxfId="4"/>
    <tableColumn id="4" xr3:uid="{A9A15F4A-15DF-4862-B148-BD879E134D07}" name="Qty" dataDxfId="3"/>
    <tableColumn id="5" xr3:uid="{F746729E-52B0-43E8-8CBA-EF83B6E4465E}" name="Original Price" dataDxfId="2"/>
    <tableColumn id="6" xr3:uid="{A92FAFD7-4C66-4CE8-B980-BC8D433A4C46}" name="Discounted Price" dataDxfId="1"/>
    <tableColumn id="7" xr3:uid="{E69DB772-8235-44EE-BBA4-A461EF88262C}" name="Total (Excl. GST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zoomScale="85" zoomScaleNormal="85" workbookViewId="0">
      <selection activeCell="B20" sqref="B20"/>
    </sheetView>
  </sheetViews>
  <sheetFormatPr defaultRowHeight="15" x14ac:dyDescent="0.25"/>
  <cols>
    <col min="1" max="1" width="57" customWidth="1"/>
    <col min="2" max="2" width="71.85546875" customWidth="1"/>
    <col min="3" max="3" width="16" customWidth="1"/>
    <col min="4" max="4" width="14.5703125" bestFit="1" customWidth="1"/>
    <col min="5" max="5" width="18.5703125" bestFit="1" customWidth="1"/>
    <col min="6" max="6" width="16.140625" bestFit="1" customWidth="1"/>
    <col min="7" max="7" width="12.7109375" bestFit="1" customWidth="1"/>
    <col min="8" max="8" width="14.140625" bestFit="1" customWidth="1"/>
  </cols>
  <sheetData>
    <row r="1" spans="1:8" ht="30" customHeight="1" x14ac:dyDescent="0.5">
      <c r="A1" s="12" t="s">
        <v>0</v>
      </c>
      <c r="B1" s="13"/>
      <c r="C1" s="13"/>
      <c r="D1" s="13"/>
      <c r="E1" s="13"/>
      <c r="F1" s="13"/>
      <c r="G1" s="13"/>
      <c r="H1" s="13"/>
    </row>
    <row r="2" spans="1:8" x14ac:dyDescent="0.25">
      <c r="A2" s="13"/>
      <c r="B2" s="13"/>
      <c r="C2" s="13"/>
      <c r="D2" s="13"/>
      <c r="E2" s="13"/>
      <c r="F2" s="13"/>
      <c r="G2" s="13"/>
      <c r="H2" s="13"/>
    </row>
    <row r="3" spans="1:8" ht="17.25" x14ac:dyDescent="0.3">
      <c r="A3" s="14" t="s">
        <v>1</v>
      </c>
      <c r="B3" s="13"/>
      <c r="C3" s="13"/>
      <c r="D3" s="13"/>
      <c r="E3" s="14" t="s">
        <v>2</v>
      </c>
      <c r="F3" s="13"/>
      <c r="G3" s="13"/>
      <c r="H3" s="13"/>
    </row>
    <row r="4" spans="1:8" x14ac:dyDescent="0.25">
      <c r="A4" s="13" t="s">
        <v>3</v>
      </c>
      <c r="B4" s="13"/>
      <c r="C4" s="13"/>
      <c r="D4" s="13"/>
      <c r="E4" s="13" t="s">
        <v>4</v>
      </c>
      <c r="F4" s="13"/>
      <c r="G4" s="13"/>
      <c r="H4" s="13"/>
    </row>
    <row r="5" spans="1:8" x14ac:dyDescent="0.25">
      <c r="A5" s="13" t="s">
        <v>5</v>
      </c>
      <c r="B5" s="13"/>
      <c r="C5" s="13"/>
      <c r="D5" s="13"/>
      <c r="E5" s="13" t="s">
        <v>6</v>
      </c>
      <c r="F5" s="13"/>
      <c r="G5" s="13"/>
      <c r="H5" s="13"/>
    </row>
    <row r="6" spans="1:8" x14ac:dyDescent="0.25">
      <c r="A6" s="13" t="s">
        <v>7</v>
      </c>
      <c r="B6" s="13"/>
      <c r="C6" s="13"/>
      <c r="D6" s="13"/>
      <c r="E6" s="63" t="s">
        <v>95</v>
      </c>
      <c r="F6" s="64"/>
      <c r="G6" s="13"/>
      <c r="H6" s="13"/>
    </row>
    <row r="7" spans="1:8" x14ac:dyDescent="0.25">
      <c r="A7" s="13" t="s">
        <v>8</v>
      </c>
      <c r="B7" s="13"/>
      <c r="C7" s="13"/>
      <c r="D7" s="13"/>
      <c r="E7" s="65"/>
      <c r="F7" s="66"/>
      <c r="G7" s="13"/>
      <c r="H7" s="13"/>
    </row>
    <row r="8" spans="1:8" x14ac:dyDescent="0.25">
      <c r="A8" s="13"/>
      <c r="B8" s="13"/>
      <c r="C8" s="13"/>
      <c r="D8" s="13"/>
      <c r="E8" s="13"/>
      <c r="F8" s="13"/>
      <c r="G8" s="13"/>
      <c r="H8" s="13"/>
    </row>
    <row r="9" spans="1:8" x14ac:dyDescent="0.25">
      <c r="A9" s="15" t="s">
        <v>9</v>
      </c>
      <c r="B9" s="16">
        <v>457</v>
      </c>
      <c r="C9" s="13"/>
      <c r="D9" s="13"/>
      <c r="E9" s="23" t="s">
        <v>10</v>
      </c>
      <c r="F9" s="23" t="s">
        <v>11</v>
      </c>
      <c r="G9" s="13"/>
      <c r="H9" s="13"/>
    </row>
    <row r="10" spans="1:8" x14ac:dyDescent="0.25">
      <c r="A10" s="13"/>
      <c r="B10" s="13"/>
      <c r="C10" s="13"/>
      <c r="D10" s="13"/>
      <c r="E10" s="13"/>
      <c r="F10" s="13"/>
      <c r="G10" s="13"/>
      <c r="H10" s="13"/>
    </row>
    <row r="11" spans="1:8" ht="24.95" customHeight="1" x14ac:dyDescent="0.25">
      <c r="A11" s="34" t="s">
        <v>74</v>
      </c>
      <c r="B11" s="35" t="s">
        <v>12</v>
      </c>
      <c r="C11" s="35" t="s">
        <v>13</v>
      </c>
      <c r="D11" s="35" t="s">
        <v>14</v>
      </c>
      <c r="E11" s="35" t="s">
        <v>15</v>
      </c>
      <c r="F11" s="35" t="s">
        <v>16</v>
      </c>
      <c r="G11" s="35" t="s">
        <v>17</v>
      </c>
      <c r="H11" s="36" t="s">
        <v>18</v>
      </c>
    </row>
    <row r="12" spans="1:8" ht="39.950000000000003" customHeight="1" x14ac:dyDescent="0.25">
      <c r="A12" s="26">
        <v>1</v>
      </c>
      <c r="B12" s="16" t="s">
        <v>19</v>
      </c>
      <c r="C12" s="18"/>
      <c r="D12" s="18">
        <v>1</v>
      </c>
      <c r="E12" s="18" t="s">
        <v>20</v>
      </c>
      <c r="F12" s="19">
        <v>66000</v>
      </c>
      <c r="G12" s="19">
        <v>11880</v>
      </c>
      <c r="H12" s="28">
        <v>77880</v>
      </c>
    </row>
    <row r="13" spans="1:8" ht="39.950000000000003" customHeight="1" x14ac:dyDescent="0.25">
      <c r="A13" s="26">
        <v>2</v>
      </c>
      <c r="B13" s="16" t="s">
        <v>21</v>
      </c>
      <c r="C13" s="18"/>
      <c r="D13" s="18">
        <v>1</v>
      </c>
      <c r="E13" s="18" t="s">
        <v>20</v>
      </c>
      <c r="F13" s="19">
        <v>59000</v>
      </c>
      <c r="G13" s="19">
        <v>10620</v>
      </c>
      <c r="H13" s="28">
        <v>69620</v>
      </c>
    </row>
    <row r="14" spans="1:8" ht="39.950000000000003" customHeight="1" x14ac:dyDescent="0.25">
      <c r="A14" s="26">
        <v>3</v>
      </c>
      <c r="B14" s="16" t="s">
        <v>22</v>
      </c>
      <c r="C14" s="18"/>
      <c r="D14" s="18">
        <v>1</v>
      </c>
      <c r="E14" s="18" t="s">
        <v>20</v>
      </c>
      <c r="F14" s="19">
        <v>17600</v>
      </c>
      <c r="G14" s="19">
        <v>3168</v>
      </c>
      <c r="H14" s="28">
        <v>20768</v>
      </c>
    </row>
    <row r="15" spans="1:8" x14ac:dyDescent="0.25">
      <c r="A15" s="24"/>
      <c r="B15" s="13"/>
      <c r="C15" s="13"/>
      <c r="D15" s="20"/>
      <c r="E15" s="20"/>
      <c r="F15" s="20"/>
      <c r="G15" s="21" t="s">
        <v>23</v>
      </c>
      <c r="H15" s="29">
        <v>142600</v>
      </c>
    </row>
    <row r="16" spans="1:8" x14ac:dyDescent="0.25">
      <c r="A16" s="24"/>
      <c r="B16" s="13"/>
      <c r="C16" s="13"/>
      <c r="D16" s="20"/>
      <c r="E16" s="20"/>
      <c r="F16" s="20"/>
      <c r="G16" s="21" t="s">
        <v>24</v>
      </c>
      <c r="H16" s="29">
        <v>12834</v>
      </c>
    </row>
    <row r="17" spans="1:8" x14ac:dyDescent="0.25">
      <c r="A17" s="24"/>
      <c r="B17" s="13"/>
      <c r="C17" s="13"/>
      <c r="D17" s="20"/>
      <c r="E17" s="20"/>
      <c r="F17" s="20"/>
      <c r="G17" s="21" t="s">
        <v>25</v>
      </c>
      <c r="H17" s="29">
        <v>12834</v>
      </c>
    </row>
    <row r="18" spans="1:8" x14ac:dyDescent="0.25">
      <c r="A18" s="24"/>
      <c r="B18" s="13"/>
      <c r="C18" s="13"/>
      <c r="D18" s="20"/>
      <c r="E18" s="20"/>
      <c r="F18" s="20"/>
      <c r="G18" s="22" t="s">
        <v>26</v>
      </c>
      <c r="H18" s="30">
        <f>SUM(H15:H17)</f>
        <v>168268</v>
      </c>
    </row>
    <row r="19" spans="1:8" x14ac:dyDescent="0.25">
      <c r="A19" s="24"/>
      <c r="B19" s="13"/>
      <c r="C19" s="13"/>
      <c r="D19" s="13"/>
      <c r="E19" s="13"/>
      <c r="F19" s="13"/>
      <c r="G19" s="13"/>
      <c r="H19" s="27"/>
    </row>
    <row r="20" spans="1:8" x14ac:dyDescent="0.25">
      <c r="A20" s="25" t="s">
        <v>27</v>
      </c>
      <c r="B20" s="17" t="s">
        <v>28</v>
      </c>
      <c r="C20" s="13"/>
      <c r="D20" s="13"/>
      <c r="E20" s="13"/>
      <c r="F20" s="13"/>
      <c r="G20" s="13"/>
      <c r="H20" s="27"/>
    </row>
    <row r="21" spans="1:8" x14ac:dyDescent="0.25">
      <c r="A21" s="31"/>
      <c r="B21" s="32"/>
      <c r="C21" s="32"/>
      <c r="D21" s="32"/>
      <c r="E21" s="32"/>
      <c r="F21" s="32"/>
      <c r="G21" s="32"/>
      <c r="H21" s="33"/>
    </row>
  </sheetData>
  <mergeCells count="1">
    <mergeCell ref="E6:F7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zoomScale="85" zoomScaleNormal="85" workbookViewId="0">
      <selection activeCell="B9" sqref="B9"/>
    </sheetView>
  </sheetViews>
  <sheetFormatPr defaultRowHeight="15" x14ac:dyDescent="0.25"/>
  <cols>
    <col min="1" max="1" width="18" customWidth="1"/>
    <col min="2" max="2" width="46.5703125" customWidth="1"/>
    <col min="3" max="3" width="59.140625" customWidth="1"/>
    <col min="4" max="4" width="30" customWidth="1"/>
    <col min="5" max="5" width="27.140625" customWidth="1"/>
    <col min="6" max="6" width="20.140625" customWidth="1"/>
  </cols>
  <sheetData>
    <row r="1" spans="1:6" ht="30" customHeight="1" x14ac:dyDescent="0.5">
      <c r="A1" s="12" t="s">
        <v>29</v>
      </c>
      <c r="B1" s="13"/>
      <c r="C1" s="13"/>
      <c r="D1" s="13"/>
      <c r="E1" s="13"/>
      <c r="F1" s="13"/>
    </row>
    <row r="2" spans="1:6" x14ac:dyDescent="0.25">
      <c r="A2" s="13"/>
      <c r="B2" s="13"/>
      <c r="C2" s="13"/>
      <c r="D2" s="13"/>
      <c r="E2" s="13"/>
      <c r="F2" s="13"/>
    </row>
    <row r="3" spans="1:6" ht="17.25" x14ac:dyDescent="0.3">
      <c r="A3" s="14" t="s">
        <v>1</v>
      </c>
      <c r="B3" s="13"/>
      <c r="C3" s="13"/>
      <c r="D3" s="13"/>
      <c r="E3" s="14" t="s">
        <v>2</v>
      </c>
      <c r="F3" s="13"/>
    </row>
    <row r="4" spans="1:6" x14ac:dyDescent="0.25">
      <c r="A4" s="13" t="s">
        <v>30</v>
      </c>
      <c r="B4" s="13"/>
      <c r="C4" s="13"/>
      <c r="D4" s="13"/>
      <c r="E4" s="13" t="s">
        <v>31</v>
      </c>
      <c r="F4" s="13"/>
    </row>
    <row r="5" spans="1:6" x14ac:dyDescent="0.25">
      <c r="A5" s="13" t="s">
        <v>32</v>
      </c>
      <c r="B5" s="13"/>
      <c r="C5" s="13"/>
      <c r="D5" s="13"/>
      <c r="E5" s="13"/>
      <c r="F5" s="13"/>
    </row>
    <row r="6" spans="1:6" x14ac:dyDescent="0.25">
      <c r="A6" s="13" t="s">
        <v>33</v>
      </c>
      <c r="B6" s="13"/>
      <c r="C6" s="13"/>
      <c r="D6" s="13"/>
      <c r="E6" s="13"/>
      <c r="F6" s="13"/>
    </row>
    <row r="7" spans="1:6" x14ac:dyDescent="0.25">
      <c r="A7" s="13" t="s">
        <v>34</v>
      </c>
      <c r="B7" s="13"/>
      <c r="C7" s="13"/>
      <c r="D7" s="13"/>
      <c r="E7" s="13"/>
      <c r="F7" s="13"/>
    </row>
    <row r="8" spans="1:6" x14ac:dyDescent="0.25">
      <c r="A8" s="13"/>
      <c r="B8" s="13"/>
      <c r="C8" s="13"/>
      <c r="D8" s="13"/>
      <c r="E8" s="13"/>
      <c r="F8" s="13"/>
    </row>
    <row r="9" spans="1:6" x14ac:dyDescent="0.25">
      <c r="A9" s="15" t="s">
        <v>35</v>
      </c>
      <c r="B9" s="17" t="s">
        <v>36</v>
      </c>
      <c r="C9" s="13"/>
      <c r="D9" s="13"/>
      <c r="E9" s="15" t="s">
        <v>10</v>
      </c>
      <c r="F9" s="23" t="s">
        <v>37</v>
      </c>
    </row>
    <row r="10" spans="1:6" x14ac:dyDescent="0.25">
      <c r="A10" s="13"/>
      <c r="B10" s="13"/>
      <c r="C10" s="13"/>
      <c r="D10" s="13"/>
      <c r="E10" s="13"/>
      <c r="F10" s="13"/>
    </row>
    <row r="11" spans="1:6" ht="24.95" customHeight="1" x14ac:dyDescent="0.25">
      <c r="A11" s="34" t="s">
        <v>38</v>
      </c>
      <c r="B11" s="35" t="s">
        <v>39</v>
      </c>
      <c r="C11" s="35" t="s">
        <v>40</v>
      </c>
      <c r="D11" s="35" t="s">
        <v>14</v>
      </c>
      <c r="E11" s="35" t="s">
        <v>41</v>
      </c>
      <c r="F11" s="36" t="s">
        <v>26</v>
      </c>
    </row>
    <row r="12" spans="1:6" ht="110.1" customHeight="1" x14ac:dyDescent="0.25">
      <c r="A12" s="37">
        <v>1</v>
      </c>
      <c r="B12" s="38" t="s">
        <v>42</v>
      </c>
      <c r="C12" s="39" t="s">
        <v>43</v>
      </c>
      <c r="D12" s="38">
        <v>1</v>
      </c>
      <c r="E12" s="40">
        <v>88000</v>
      </c>
      <c r="F12" s="41">
        <v>88000</v>
      </c>
    </row>
    <row r="13" spans="1:6" ht="110.1" customHeight="1" x14ac:dyDescent="0.25">
      <c r="A13" s="37">
        <v>2</v>
      </c>
      <c r="B13" s="38" t="s">
        <v>42</v>
      </c>
      <c r="C13" s="39" t="s">
        <v>44</v>
      </c>
      <c r="D13" s="38">
        <v>1</v>
      </c>
      <c r="E13" s="40">
        <v>86000</v>
      </c>
      <c r="F13" s="41">
        <v>86000</v>
      </c>
    </row>
    <row r="14" spans="1:6" ht="39.950000000000003" customHeight="1" x14ac:dyDescent="0.25">
      <c r="A14" s="37">
        <v>3</v>
      </c>
      <c r="B14" s="38" t="s">
        <v>45</v>
      </c>
      <c r="C14" s="39" t="s">
        <v>46</v>
      </c>
      <c r="D14" s="38">
        <v>1</v>
      </c>
      <c r="E14" s="40">
        <v>5500</v>
      </c>
      <c r="F14" s="41">
        <v>5500</v>
      </c>
    </row>
    <row r="15" spans="1:6" x14ac:dyDescent="0.25">
      <c r="A15" s="42"/>
      <c r="B15" s="43"/>
      <c r="C15" s="43"/>
      <c r="D15" s="43"/>
      <c r="E15" s="23" t="s">
        <v>47</v>
      </c>
      <c r="F15" s="44">
        <v>179500</v>
      </c>
    </row>
    <row r="16" spans="1:6" x14ac:dyDescent="0.25">
      <c r="A16" s="42"/>
      <c r="B16" s="43"/>
      <c r="C16" s="43"/>
      <c r="D16" s="43"/>
      <c r="E16" s="23" t="s">
        <v>48</v>
      </c>
      <c r="F16" s="44">
        <v>32310</v>
      </c>
    </row>
    <row r="17" spans="1:6" x14ac:dyDescent="0.25">
      <c r="A17" s="45"/>
      <c r="B17" s="46"/>
      <c r="C17" s="46"/>
      <c r="D17" s="46"/>
      <c r="E17" s="47" t="s">
        <v>26</v>
      </c>
      <c r="F17" s="48">
        <f>SUM(F15:F16)</f>
        <v>211810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9"/>
  <sheetViews>
    <sheetView topLeftCell="A4" workbookViewId="0">
      <selection activeCell="F9" sqref="F9"/>
    </sheetView>
  </sheetViews>
  <sheetFormatPr defaultRowHeight="15" x14ac:dyDescent="0.25"/>
  <cols>
    <col min="1" max="1" width="20" customWidth="1"/>
    <col min="2" max="2" width="54.140625" bestFit="1" customWidth="1"/>
    <col min="3" max="3" width="15.28515625" bestFit="1" customWidth="1"/>
    <col min="4" max="4" width="15" bestFit="1" customWidth="1"/>
    <col min="5" max="5" width="53.85546875" bestFit="1" customWidth="1"/>
    <col min="6" max="6" width="14.28515625" bestFit="1" customWidth="1"/>
    <col min="7" max="7" width="14.140625" bestFit="1" customWidth="1"/>
  </cols>
  <sheetData>
    <row r="1" spans="1:7" ht="30" customHeight="1" x14ac:dyDescent="0.5">
      <c r="A1" s="1" t="s">
        <v>29</v>
      </c>
    </row>
    <row r="3" spans="1:7" ht="17.25" x14ac:dyDescent="0.3">
      <c r="A3" s="2" t="s">
        <v>1</v>
      </c>
      <c r="E3" s="2" t="s">
        <v>49</v>
      </c>
    </row>
    <row r="4" spans="1:7" x14ac:dyDescent="0.25">
      <c r="A4" t="s">
        <v>50</v>
      </c>
      <c r="E4" t="s">
        <v>51</v>
      </c>
    </row>
    <row r="5" spans="1:7" x14ac:dyDescent="0.25">
      <c r="A5" t="s">
        <v>52</v>
      </c>
      <c r="E5" t="s">
        <v>53</v>
      </c>
    </row>
    <row r="6" spans="1:7" x14ac:dyDescent="0.25">
      <c r="A6" t="s">
        <v>54</v>
      </c>
      <c r="E6" t="s">
        <v>55</v>
      </c>
    </row>
    <row r="7" spans="1:7" x14ac:dyDescent="0.25">
      <c r="A7" t="s">
        <v>56</v>
      </c>
    </row>
    <row r="9" spans="1:7" x14ac:dyDescent="0.25">
      <c r="A9" s="3" t="s">
        <v>57</v>
      </c>
      <c r="B9" s="4">
        <v>138</v>
      </c>
      <c r="E9" s="3" t="s">
        <v>58</v>
      </c>
      <c r="F9" s="5" t="s">
        <v>59</v>
      </c>
    </row>
    <row r="11" spans="1:7" ht="24.95" customHeight="1" x14ac:dyDescent="0.25">
      <c r="A11" s="6" t="s">
        <v>60</v>
      </c>
      <c r="B11" s="6" t="s">
        <v>61</v>
      </c>
      <c r="C11" s="6" t="s">
        <v>13</v>
      </c>
      <c r="D11" s="6" t="s">
        <v>62</v>
      </c>
      <c r="E11" s="6" t="s">
        <v>14</v>
      </c>
      <c r="F11" s="6" t="s">
        <v>63</v>
      </c>
      <c r="G11" s="6" t="s">
        <v>18</v>
      </c>
    </row>
    <row r="12" spans="1:7" ht="30" customHeight="1" x14ac:dyDescent="0.25">
      <c r="A12" s="7">
        <v>1</v>
      </c>
      <c r="B12" s="8" t="s">
        <v>64</v>
      </c>
      <c r="C12" s="7" t="s">
        <v>42</v>
      </c>
      <c r="D12" s="7" t="s">
        <v>65</v>
      </c>
      <c r="E12" s="7">
        <v>1</v>
      </c>
      <c r="F12" s="9">
        <v>82880</v>
      </c>
      <c r="G12" s="9">
        <v>82880</v>
      </c>
    </row>
    <row r="13" spans="1:7" ht="30" customHeight="1" x14ac:dyDescent="0.25">
      <c r="A13" s="7">
        <v>2</v>
      </c>
      <c r="B13" s="8" t="s">
        <v>66</v>
      </c>
      <c r="C13" s="7" t="s">
        <v>67</v>
      </c>
      <c r="D13" s="7" t="s">
        <v>65</v>
      </c>
      <c r="E13" s="7">
        <v>1</v>
      </c>
      <c r="F13" s="9">
        <v>72000</v>
      </c>
      <c r="G13" s="9">
        <v>72000</v>
      </c>
    </row>
    <row r="14" spans="1:7" ht="30" customHeight="1" x14ac:dyDescent="0.25">
      <c r="A14" s="7">
        <v>3</v>
      </c>
      <c r="B14" s="8" t="s">
        <v>68</v>
      </c>
      <c r="C14" s="7" t="s">
        <v>69</v>
      </c>
      <c r="D14" s="7" t="s">
        <v>65</v>
      </c>
      <c r="E14" s="7">
        <v>1</v>
      </c>
      <c r="F14" s="9">
        <v>14000</v>
      </c>
      <c r="G14" s="9">
        <v>14000</v>
      </c>
    </row>
    <row r="15" spans="1:7" ht="30" customHeight="1" x14ac:dyDescent="0.25">
      <c r="A15" s="7">
        <v>4</v>
      </c>
      <c r="B15" s="8" t="s">
        <v>70</v>
      </c>
      <c r="C15" s="7" t="s">
        <v>69</v>
      </c>
      <c r="D15" s="7" t="s">
        <v>65</v>
      </c>
      <c r="E15" s="7">
        <v>1</v>
      </c>
      <c r="F15" s="9">
        <v>4250</v>
      </c>
      <c r="G15" s="9">
        <v>4250</v>
      </c>
    </row>
    <row r="16" spans="1:7" ht="30" customHeight="1" x14ac:dyDescent="0.25">
      <c r="A16" s="7">
        <v>5</v>
      </c>
      <c r="B16" s="8" t="s">
        <v>71</v>
      </c>
      <c r="C16" s="7" t="s">
        <v>72</v>
      </c>
      <c r="D16" s="7" t="s">
        <v>65</v>
      </c>
      <c r="E16" s="7">
        <v>1</v>
      </c>
      <c r="F16" s="9">
        <v>5500</v>
      </c>
      <c r="G16" s="9">
        <v>5500</v>
      </c>
    </row>
    <row r="17" spans="1:7" x14ac:dyDescent="0.25">
      <c r="F17" s="10" t="s">
        <v>26</v>
      </c>
      <c r="G17" s="11">
        <f>SUM(G12:G16)</f>
        <v>178630</v>
      </c>
    </row>
    <row r="19" spans="1:7" x14ac:dyDescent="0.25">
      <c r="A19" s="3" t="s">
        <v>27</v>
      </c>
      <c r="B19" s="5" t="s">
        <v>73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968E1-5327-4428-8AE5-E84FABD00674}">
  <dimension ref="A2:G16"/>
  <sheetViews>
    <sheetView workbookViewId="0">
      <selection activeCell="F23" sqref="F23"/>
    </sheetView>
  </sheetViews>
  <sheetFormatPr defaultRowHeight="15" x14ac:dyDescent="0.25"/>
  <cols>
    <col min="1" max="1" width="7.85546875" customWidth="1"/>
    <col min="2" max="2" width="61.140625" customWidth="1"/>
    <col min="3" max="3" width="14.42578125" customWidth="1"/>
    <col min="4" max="4" width="6.5703125" customWidth="1"/>
    <col min="5" max="5" width="19.140625" customWidth="1"/>
    <col min="6" max="6" width="20.85546875" customWidth="1"/>
    <col min="7" max="7" width="21.7109375" customWidth="1"/>
  </cols>
  <sheetData>
    <row r="2" spans="1:7" ht="15.75" x14ac:dyDescent="0.25">
      <c r="A2" s="67" t="s">
        <v>75</v>
      </c>
      <c r="B2" s="67"/>
    </row>
    <row r="3" spans="1:7" x14ac:dyDescent="0.25">
      <c r="A3" s="49" t="s">
        <v>38</v>
      </c>
      <c r="B3" s="50" t="s">
        <v>76</v>
      </c>
      <c r="C3" s="50" t="s">
        <v>77</v>
      </c>
      <c r="D3" s="50" t="s">
        <v>78</v>
      </c>
      <c r="E3" s="50" t="s">
        <v>79</v>
      </c>
      <c r="F3" s="50" t="s">
        <v>80</v>
      </c>
      <c r="G3" s="51" t="s">
        <v>81</v>
      </c>
    </row>
    <row r="4" spans="1:7" x14ac:dyDescent="0.25">
      <c r="A4" s="52">
        <v>1</v>
      </c>
      <c r="B4" s="53" t="s">
        <v>82</v>
      </c>
      <c r="C4" s="54" t="s">
        <v>83</v>
      </c>
      <c r="D4" s="54">
        <v>1</v>
      </c>
      <c r="E4" s="55">
        <v>135000</v>
      </c>
      <c r="F4" s="55">
        <v>130000</v>
      </c>
      <c r="G4" s="56">
        <f>D4*F4</f>
        <v>130000</v>
      </c>
    </row>
    <row r="5" spans="1:7" x14ac:dyDescent="0.25">
      <c r="A5" s="52">
        <v>2</v>
      </c>
      <c r="B5" s="53" t="s">
        <v>84</v>
      </c>
      <c r="C5" s="54" t="s">
        <v>85</v>
      </c>
      <c r="D5" s="54">
        <v>1</v>
      </c>
      <c r="E5" s="55">
        <v>125000</v>
      </c>
      <c r="F5" s="55">
        <v>120000</v>
      </c>
      <c r="G5" s="56">
        <f>D5*F5</f>
        <v>120000</v>
      </c>
    </row>
    <row r="6" spans="1:7" x14ac:dyDescent="0.25">
      <c r="A6" s="24"/>
      <c r="B6" s="57" t="s">
        <v>47</v>
      </c>
      <c r="C6" s="13"/>
      <c r="D6" s="13"/>
      <c r="E6" s="13"/>
      <c r="F6" s="13"/>
      <c r="G6" s="58">
        <f>SUM(G4:G5)</f>
        <v>250000</v>
      </c>
    </row>
    <row r="7" spans="1:7" x14ac:dyDescent="0.25">
      <c r="A7" s="24"/>
      <c r="B7" s="57" t="s">
        <v>86</v>
      </c>
      <c r="C7" s="13"/>
      <c r="D7" s="13"/>
      <c r="E7" s="13"/>
      <c r="F7" s="13"/>
      <c r="G7" s="58">
        <f>G6*0.18</f>
        <v>45000</v>
      </c>
    </row>
    <row r="8" spans="1:7" x14ac:dyDescent="0.25">
      <c r="A8" s="24"/>
      <c r="B8" s="57" t="s">
        <v>87</v>
      </c>
      <c r="C8" s="13"/>
      <c r="D8" s="13"/>
      <c r="E8" s="13"/>
      <c r="F8" s="13"/>
      <c r="G8" s="59">
        <f>G6+G7</f>
        <v>295000</v>
      </c>
    </row>
    <row r="9" spans="1:7" x14ac:dyDescent="0.25">
      <c r="A9" s="24"/>
      <c r="B9" s="13"/>
      <c r="C9" s="13"/>
      <c r="D9" s="13"/>
      <c r="E9" s="13"/>
      <c r="F9" s="13"/>
      <c r="G9" s="27"/>
    </row>
    <row r="10" spans="1:7" x14ac:dyDescent="0.25">
      <c r="A10" s="24"/>
      <c r="B10" s="57" t="s">
        <v>88</v>
      </c>
      <c r="C10" s="13"/>
      <c r="D10" s="13"/>
      <c r="E10" s="13"/>
      <c r="F10" s="13"/>
      <c r="G10" s="27"/>
    </row>
    <row r="11" spans="1:7" x14ac:dyDescent="0.25">
      <c r="A11" s="24"/>
      <c r="B11" s="60" t="s">
        <v>89</v>
      </c>
      <c r="C11" s="13"/>
      <c r="D11" s="13"/>
      <c r="E11" s="13"/>
      <c r="F11" s="13"/>
      <c r="G11" s="27"/>
    </row>
    <row r="12" spans="1:7" x14ac:dyDescent="0.25">
      <c r="A12" s="24"/>
      <c r="B12" s="60" t="s">
        <v>90</v>
      </c>
      <c r="C12" s="13"/>
      <c r="D12" s="13"/>
      <c r="E12" s="13"/>
      <c r="F12" s="13"/>
      <c r="G12" s="27"/>
    </row>
    <row r="13" spans="1:7" x14ac:dyDescent="0.25">
      <c r="A13" s="24"/>
      <c r="B13" s="60" t="s">
        <v>91</v>
      </c>
      <c r="C13" s="13"/>
      <c r="D13" s="13"/>
      <c r="E13" s="13"/>
      <c r="F13" s="13"/>
      <c r="G13" s="27"/>
    </row>
    <row r="14" spans="1:7" ht="24.75" x14ac:dyDescent="0.25">
      <c r="A14" s="24"/>
      <c r="B14" s="61" t="s">
        <v>92</v>
      </c>
      <c r="C14" s="13"/>
      <c r="D14" s="13"/>
      <c r="E14" s="13"/>
      <c r="F14" s="13"/>
      <c r="G14" s="27"/>
    </row>
    <row r="15" spans="1:7" x14ac:dyDescent="0.25">
      <c r="A15" s="24"/>
      <c r="B15" s="60" t="s">
        <v>93</v>
      </c>
      <c r="C15" s="13"/>
      <c r="D15" s="13"/>
      <c r="E15" s="13"/>
      <c r="F15" s="13"/>
      <c r="G15" s="27"/>
    </row>
    <row r="16" spans="1:7" x14ac:dyDescent="0.25">
      <c r="A16" s="31"/>
      <c r="B16" s="62" t="s">
        <v>94</v>
      </c>
      <c r="C16" s="32"/>
      <c r="D16" s="32"/>
      <c r="E16" s="32"/>
      <c r="F16" s="32"/>
      <c r="G16" s="33"/>
    </row>
  </sheetData>
  <mergeCells count="1">
    <mergeCell ref="A2:B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Amar Jyoti Machinery</vt:lpstr>
      <vt:lpstr>SA Engineering</vt:lpstr>
      <vt:lpstr>Maxxinc</vt:lpstr>
      <vt:lpstr>Altech Construction 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2026-10-21T06:14:59Z</dcterms:created>
  <dcterms:modified xsi:type="dcterms:W3CDTF">2026-10-27T06:50:00Z</dcterms:modified>
</cp:coreProperties>
</file>