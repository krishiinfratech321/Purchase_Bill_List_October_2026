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urchase_List_October_2026\master Quotations_October_2026\"/>
    </mc:Choice>
  </mc:AlternateContent>
  <xr:revisionPtr revIDLastSave="0" documentId="13_ncr:1_{9CDDB61E-5824-490E-B6A1-41C9501C3E5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inalized Purchase Bills" sheetId="1" r:id="rId1"/>
  </sheets>
  <definedNames>
    <definedName name="_xlnm._FilterDatabase" localSheetId="0" hidden="1">'Finalized Purchase Bills'!$A$2:$L$19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1" l="1"/>
  <c r="K19" i="1"/>
  <c r="I19" i="1"/>
  <c r="C30" i="1"/>
  <c r="C29" i="1"/>
  <c r="L18" i="1"/>
  <c r="C24" i="1"/>
  <c r="I17" i="1"/>
  <c r="L17" i="1" s="1"/>
  <c r="I16" i="1"/>
  <c r="L16" i="1" s="1"/>
  <c r="I15" i="1"/>
  <c r="L15" i="1" s="1"/>
  <c r="C28" i="1"/>
  <c r="C26" i="1"/>
  <c r="C27" i="1"/>
  <c r="C25" i="1"/>
</calcChain>
</file>

<file path=xl/sharedStrings.xml><?xml version="1.0" encoding="utf-8"?>
<sst xmlns="http://schemas.openxmlformats.org/spreadsheetml/2006/main" count="102" uniqueCount="58">
  <si>
    <t>Bill Date</t>
  </si>
  <si>
    <t>Supplier Name</t>
  </si>
  <si>
    <t>Invoice/Quote No.</t>
  </si>
  <si>
    <t>Item Description</t>
  </si>
  <si>
    <t>HSN/SAC</t>
  </si>
  <si>
    <t>Quantity</t>
  </si>
  <si>
    <t>Unit</t>
  </si>
  <si>
    <t>Rate</t>
  </si>
  <si>
    <t>Taxable Value</t>
  </si>
  <si>
    <t>GST Rate (%)</t>
  </si>
  <si>
    <t>GST Amount</t>
  </si>
  <si>
    <t>Total Amount</t>
  </si>
  <si>
    <t>09-Oct-2026</t>
  </si>
  <si>
    <t>AMIT ENGINEERS</t>
  </si>
  <si>
    <t>AE/D/ORD.703/2026-2027</t>
  </si>
  <si>
    <t>"BOSCH" GRINDING WHEEL 4" 100 X 6 X 16MM (2608602372)</t>
  </si>
  <si>
    <t>NOS</t>
  </si>
  <si>
    <t>"BOSCH" GRINDING WHEEL 7" 180X6.6X22.23 MM (PART NO. 2608602373)</t>
  </si>
  <si>
    <t>BEJOD SYNTHETIC GUM 25LTR</t>
  </si>
  <si>
    <t>FOAM SHEET 3MM (135MTR)</t>
  </si>
  <si>
    <t>ROLL</t>
  </si>
  <si>
    <t>STARBLAZE PRIME 7018 WELDING ELECTRODE SIZE: 4.0 X 450MM</t>
  </si>
  <si>
    <t>KGS</t>
  </si>
  <si>
    <t>10-Oct-2026</t>
  </si>
  <si>
    <t>SAMS Engineering Enterprises</t>
  </si>
  <si>
    <t>PI.Hex Bolt</t>
  </si>
  <si>
    <t>M12 x 50 Hex Bolt MS, with Nut Double Washer</t>
  </si>
  <si>
    <t>7318</t>
  </si>
  <si>
    <t>Nos</t>
  </si>
  <si>
    <t>RAMDEV ELECTRICALS</t>
  </si>
  <si>
    <t>QUOTE/26-27/10713</t>
  </si>
  <si>
    <t>2.5SQMM 3CORE COPPER FLEXIBLE CABLE POLYCAB</t>
  </si>
  <si>
    <t>85446090</t>
  </si>
  <si>
    <t>mtrs</t>
  </si>
  <si>
    <t>LEGRAND DX3 40A 3POLE MCB</t>
  </si>
  <si>
    <t>85362030</t>
  </si>
  <si>
    <t>06A 3PIN PLUG TOP</t>
  </si>
  <si>
    <t>85369090</t>
  </si>
  <si>
    <t>SRI VENKATESWARA CHEMICALS</t>
  </si>
  <si>
    <t>Estimation</t>
  </si>
  <si>
    <t>Bentonite Clay Powder (30 Bag x 50 Kg)</t>
  </si>
  <si>
    <t>Bags</t>
  </si>
  <si>
    <t>Loading Charges</t>
  </si>
  <si>
    <t>LS</t>
  </si>
  <si>
    <t>SUFI OIL TRADERS</t>
  </si>
  <si>
    <t>SOT/26-27/651</t>
  </si>
  <si>
    <t>WHITE OIL (One Barrel of Shuttering Oil Concrete Mould Release)</t>
  </si>
  <si>
    <t>34031900</t>
  </si>
  <si>
    <t>LTR</t>
  </si>
  <si>
    <t>Total</t>
  </si>
  <si>
    <t>FINALIZED PURCHASE BILLS - GIRDER MATERIAL REQUIREMENTS - M/S. KRISHI INFRATECH</t>
  </si>
  <si>
    <t xml:space="preserve">Lahari Enterprises </t>
  </si>
  <si>
    <t>LE/26-27/493</t>
  </si>
  <si>
    <t xml:space="preserve">Lahari Enterprises  </t>
  </si>
  <si>
    <r>
      <rPr>
        <b/>
        <sz val="11"/>
        <rFont val="Calibri"/>
        <family val="2"/>
      </rPr>
      <t xml:space="preserve">"Diffusion" </t>
    </r>
    <r>
      <rPr>
        <sz val="11"/>
        <rFont val="Calibri"/>
        <family val="2"/>
      </rPr>
      <t>Marvel   7018  4.0 X 450MM 20Kg</t>
    </r>
  </si>
  <si>
    <r>
      <rPr>
        <b/>
        <sz val="11"/>
        <rFont val="Calibri"/>
        <family val="2"/>
      </rPr>
      <t>"Diffusion"</t>
    </r>
    <r>
      <rPr>
        <sz val="11"/>
        <rFont val="Calibri"/>
        <family val="2"/>
      </rPr>
      <t xml:space="preserve"> Ferron super 6013 3.15mm 32kg </t>
    </r>
  </si>
  <si>
    <r>
      <rPr>
        <b/>
        <sz val="11"/>
        <rFont val="Calibri"/>
        <family val="2"/>
      </rPr>
      <t>"Diffusion"</t>
    </r>
    <r>
      <rPr>
        <sz val="11"/>
        <rFont val="Calibri"/>
        <family val="2"/>
      </rPr>
      <t xml:space="preserve"> Ferron super 6013 4mm 28kg</t>
    </r>
  </si>
  <si>
    <t xml:space="preserve">Transport on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</si>
</sst>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6"/>
      <color rgb="FF0070C0"/>
      <name val="Calibri"/>
      <family val="2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B1" zoomScale="85" zoomScaleNormal="85" workbookViewId="0">
      <selection activeCell="K9" sqref="I9:K9"/>
    </sheetView>
  </sheetViews>
  <sheetFormatPr defaultRowHeight="15" x14ac:dyDescent="0.25"/>
  <cols>
    <col min="1" max="1" width="15" customWidth="1"/>
    <col min="2" max="2" width="32" customWidth="1"/>
    <col min="3" max="3" width="31" customWidth="1"/>
    <col min="4" max="4" width="68" customWidth="1"/>
    <col min="5" max="5" width="16.7109375" customWidth="1"/>
    <col min="6" max="6" width="15.140625" customWidth="1"/>
    <col min="7" max="7" width="17.28515625" customWidth="1"/>
    <col min="8" max="8" width="16" customWidth="1"/>
    <col min="9" max="9" width="20.28515625" customWidth="1"/>
    <col min="10" max="11" width="18" customWidth="1"/>
    <col min="12" max="12" width="17.28515625" customWidth="1"/>
  </cols>
  <sheetData>
    <row r="1" spans="1:12" ht="39.950000000000003" customHeight="1" x14ac:dyDescent="0.25">
      <c r="A1" s="21" t="s">
        <v>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.95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</row>
    <row r="3" spans="1:12" x14ac:dyDescent="0.25">
      <c r="A3" s="1" t="s">
        <v>12</v>
      </c>
      <c r="B3" s="13" t="s">
        <v>13</v>
      </c>
      <c r="C3" s="1" t="s">
        <v>14</v>
      </c>
      <c r="D3" s="2" t="s">
        <v>15</v>
      </c>
      <c r="E3" s="1"/>
      <c r="F3" s="11">
        <v>200</v>
      </c>
      <c r="G3" s="1" t="s">
        <v>16</v>
      </c>
      <c r="H3" s="3">
        <v>36</v>
      </c>
      <c r="I3" s="3">
        <v>7200</v>
      </c>
      <c r="J3" s="1">
        <v>18</v>
      </c>
      <c r="K3" s="3">
        <v>1296</v>
      </c>
      <c r="L3" s="3">
        <v>8496</v>
      </c>
    </row>
    <row r="4" spans="1:12" x14ac:dyDescent="0.25">
      <c r="A4" s="1" t="s">
        <v>12</v>
      </c>
      <c r="B4" s="13" t="s">
        <v>13</v>
      </c>
      <c r="C4" s="1" t="s">
        <v>14</v>
      </c>
      <c r="D4" s="2" t="s">
        <v>17</v>
      </c>
      <c r="E4" s="1"/>
      <c r="F4" s="11">
        <v>100</v>
      </c>
      <c r="G4" s="1" t="s">
        <v>16</v>
      </c>
      <c r="H4" s="3">
        <v>83</v>
      </c>
      <c r="I4" s="3">
        <v>8300</v>
      </c>
      <c r="J4" s="1">
        <v>18</v>
      </c>
      <c r="K4" s="3">
        <v>1494</v>
      </c>
      <c r="L4" s="3">
        <v>9794</v>
      </c>
    </row>
    <row r="5" spans="1:12" x14ac:dyDescent="0.25">
      <c r="A5" s="1" t="s">
        <v>12</v>
      </c>
      <c r="B5" s="13" t="s">
        <v>13</v>
      </c>
      <c r="C5" s="1" t="s">
        <v>14</v>
      </c>
      <c r="D5" s="2" t="s">
        <v>18</v>
      </c>
      <c r="E5" s="1"/>
      <c r="F5" s="11">
        <v>1</v>
      </c>
      <c r="G5" s="1" t="s">
        <v>16</v>
      </c>
      <c r="H5" s="3">
        <v>8375</v>
      </c>
      <c r="I5" s="3">
        <v>8375</v>
      </c>
      <c r="J5" s="1">
        <v>18</v>
      </c>
      <c r="K5" s="3">
        <v>1507.5</v>
      </c>
      <c r="L5" s="3">
        <v>9882.5</v>
      </c>
    </row>
    <row r="6" spans="1:12" x14ac:dyDescent="0.25">
      <c r="A6" s="1" t="s">
        <v>12</v>
      </c>
      <c r="B6" s="13" t="s">
        <v>13</v>
      </c>
      <c r="C6" s="1" t="s">
        <v>14</v>
      </c>
      <c r="D6" s="2" t="s">
        <v>19</v>
      </c>
      <c r="E6" s="1"/>
      <c r="F6" s="11">
        <v>1</v>
      </c>
      <c r="G6" s="1" t="s">
        <v>20</v>
      </c>
      <c r="H6" s="3">
        <v>5042.33</v>
      </c>
      <c r="I6" s="3">
        <v>5042.33</v>
      </c>
      <c r="J6" s="1">
        <v>18</v>
      </c>
      <c r="K6" s="3">
        <v>907.62</v>
      </c>
      <c r="L6" s="3">
        <v>5949.95</v>
      </c>
    </row>
    <row r="7" spans="1:12" x14ac:dyDescent="0.25">
      <c r="A7" s="1" t="s">
        <v>12</v>
      </c>
      <c r="B7" s="13" t="s">
        <v>13</v>
      </c>
      <c r="C7" s="1" t="s">
        <v>14</v>
      </c>
      <c r="D7" s="2" t="s">
        <v>21</v>
      </c>
      <c r="E7" s="1"/>
      <c r="F7" s="11">
        <v>40</v>
      </c>
      <c r="G7" s="1" t="s">
        <v>22</v>
      </c>
      <c r="H7" s="3">
        <v>105</v>
      </c>
      <c r="I7" s="3">
        <v>4200</v>
      </c>
      <c r="J7" s="1">
        <v>18</v>
      </c>
      <c r="K7" s="3">
        <v>756</v>
      </c>
      <c r="L7" s="3">
        <v>4956</v>
      </c>
    </row>
    <row r="8" spans="1:12" x14ac:dyDescent="0.25">
      <c r="A8" s="1" t="s">
        <v>23</v>
      </c>
      <c r="B8" s="13" t="s">
        <v>24</v>
      </c>
      <c r="C8" s="1" t="s">
        <v>25</v>
      </c>
      <c r="D8" s="2" t="s">
        <v>26</v>
      </c>
      <c r="E8" s="1" t="s">
        <v>27</v>
      </c>
      <c r="F8" s="11">
        <v>1000</v>
      </c>
      <c r="G8" s="1" t="s">
        <v>28</v>
      </c>
      <c r="H8" s="3">
        <v>9.9</v>
      </c>
      <c r="I8" s="3">
        <v>9900</v>
      </c>
      <c r="J8" s="1">
        <v>18</v>
      </c>
      <c r="K8" s="3">
        <v>1782</v>
      </c>
      <c r="L8" s="3">
        <v>11682</v>
      </c>
    </row>
    <row r="9" spans="1:12" x14ac:dyDescent="0.25">
      <c r="A9" s="1" t="s">
        <v>23</v>
      </c>
      <c r="B9" s="13" t="s">
        <v>29</v>
      </c>
      <c r="C9" s="1" t="s">
        <v>30</v>
      </c>
      <c r="D9" s="2" t="s">
        <v>31</v>
      </c>
      <c r="E9" s="1" t="s">
        <v>32</v>
      </c>
      <c r="F9" s="11">
        <v>130</v>
      </c>
      <c r="G9" s="1" t="s">
        <v>33</v>
      </c>
      <c r="H9" s="3">
        <v>130</v>
      </c>
      <c r="I9" s="3">
        <v>16900</v>
      </c>
      <c r="J9" s="1">
        <v>18</v>
      </c>
      <c r="K9" s="3">
        <v>3042</v>
      </c>
      <c r="L9" s="3">
        <v>19942</v>
      </c>
    </row>
    <row r="10" spans="1:12" x14ac:dyDescent="0.25">
      <c r="A10" s="1" t="s">
        <v>23</v>
      </c>
      <c r="B10" s="13" t="s">
        <v>29</v>
      </c>
      <c r="C10" s="1" t="s">
        <v>30</v>
      </c>
      <c r="D10" s="2" t="s">
        <v>34</v>
      </c>
      <c r="E10" s="1" t="s">
        <v>35</v>
      </c>
      <c r="F10" s="11">
        <v>4</v>
      </c>
      <c r="G10" s="1" t="s">
        <v>16</v>
      </c>
      <c r="H10" s="3">
        <v>1458</v>
      </c>
      <c r="I10" s="3">
        <v>5832</v>
      </c>
      <c r="J10" s="1">
        <v>18</v>
      </c>
      <c r="K10" s="3">
        <v>1049.76</v>
      </c>
      <c r="L10" s="3">
        <v>6881.76</v>
      </c>
    </row>
    <row r="11" spans="1:12" x14ac:dyDescent="0.25">
      <c r="A11" s="1" t="s">
        <v>23</v>
      </c>
      <c r="B11" s="13" t="s">
        <v>29</v>
      </c>
      <c r="C11" s="1" t="s">
        <v>30</v>
      </c>
      <c r="D11" s="2" t="s">
        <v>36</v>
      </c>
      <c r="E11" s="1" t="s">
        <v>37</v>
      </c>
      <c r="F11" s="11">
        <v>3</v>
      </c>
      <c r="G11" s="1" t="s">
        <v>16</v>
      </c>
      <c r="H11" s="3">
        <v>55</v>
      </c>
      <c r="I11" s="3">
        <v>165</v>
      </c>
      <c r="J11" s="1">
        <v>18</v>
      </c>
      <c r="K11" s="3">
        <v>29.7</v>
      </c>
      <c r="L11" s="3">
        <v>194.7</v>
      </c>
    </row>
    <row r="12" spans="1:12" x14ac:dyDescent="0.25">
      <c r="A12" s="1" t="s">
        <v>12</v>
      </c>
      <c r="B12" s="13" t="s">
        <v>38</v>
      </c>
      <c r="C12" s="1" t="s">
        <v>39</v>
      </c>
      <c r="D12" s="2" t="s">
        <v>40</v>
      </c>
      <c r="E12" s="1"/>
      <c r="F12" s="11">
        <v>30</v>
      </c>
      <c r="G12" s="1" t="s">
        <v>41</v>
      </c>
      <c r="H12" s="3">
        <v>560</v>
      </c>
      <c r="I12" s="3">
        <v>16800</v>
      </c>
      <c r="J12" s="1">
        <v>5</v>
      </c>
      <c r="K12" s="3">
        <v>840</v>
      </c>
      <c r="L12" s="3">
        <v>17640</v>
      </c>
    </row>
    <row r="13" spans="1:12" x14ac:dyDescent="0.25">
      <c r="A13" s="1" t="s">
        <v>12</v>
      </c>
      <c r="B13" s="13" t="s">
        <v>38</v>
      </c>
      <c r="C13" s="1" t="s">
        <v>39</v>
      </c>
      <c r="D13" s="2" t="s">
        <v>42</v>
      </c>
      <c r="E13" s="1"/>
      <c r="F13" s="11">
        <v>1</v>
      </c>
      <c r="G13" s="1" t="s">
        <v>43</v>
      </c>
      <c r="H13" s="3">
        <v>120</v>
      </c>
      <c r="I13" s="3">
        <v>120</v>
      </c>
      <c r="J13" s="1">
        <v>0</v>
      </c>
      <c r="K13" s="3">
        <v>0</v>
      </c>
      <c r="L13" s="3">
        <v>120</v>
      </c>
    </row>
    <row r="14" spans="1:12" x14ac:dyDescent="0.25">
      <c r="A14" s="14">
        <v>46305</v>
      </c>
      <c r="B14" s="13" t="s">
        <v>44</v>
      </c>
      <c r="C14" s="1" t="s">
        <v>45</v>
      </c>
      <c r="D14" s="2" t="s">
        <v>46</v>
      </c>
      <c r="E14" s="1" t="s">
        <v>47</v>
      </c>
      <c r="F14" s="11">
        <v>200</v>
      </c>
      <c r="G14" s="1" t="s">
        <v>48</v>
      </c>
      <c r="H14" s="3">
        <v>52.5</v>
      </c>
      <c r="I14" s="3">
        <v>10500</v>
      </c>
      <c r="J14" s="1">
        <v>18</v>
      </c>
      <c r="K14" s="3">
        <v>1890</v>
      </c>
      <c r="L14" s="3">
        <v>12390</v>
      </c>
    </row>
    <row r="15" spans="1:12" x14ac:dyDescent="0.25">
      <c r="A15" s="14">
        <v>46308</v>
      </c>
      <c r="B15" s="13" t="s">
        <v>53</v>
      </c>
      <c r="C15" s="1" t="s">
        <v>52</v>
      </c>
      <c r="D15" s="15" t="s">
        <v>54</v>
      </c>
      <c r="E15" s="20">
        <v>83111000</v>
      </c>
      <c r="F15" s="11">
        <v>20</v>
      </c>
      <c r="G15" s="1" t="s">
        <v>22</v>
      </c>
      <c r="H15" s="3">
        <v>93</v>
      </c>
      <c r="I15" s="3">
        <f>H15*F15</f>
        <v>1860</v>
      </c>
      <c r="J15" s="1">
        <v>18</v>
      </c>
      <c r="K15" s="3">
        <v>334.8</v>
      </c>
      <c r="L15" s="3">
        <f>K15+I15</f>
        <v>2194.8000000000002</v>
      </c>
    </row>
    <row r="16" spans="1:12" x14ac:dyDescent="0.25">
      <c r="A16" s="14">
        <v>46308</v>
      </c>
      <c r="B16" s="13" t="s">
        <v>51</v>
      </c>
      <c r="C16" s="1" t="s">
        <v>52</v>
      </c>
      <c r="D16" s="15" t="s">
        <v>55</v>
      </c>
      <c r="E16" s="20">
        <v>83111000</v>
      </c>
      <c r="F16" s="11">
        <v>32</v>
      </c>
      <c r="G16" s="1" t="s">
        <v>22</v>
      </c>
      <c r="H16" s="3">
        <v>83</v>
      </c>
      <c r="I16" s="3">
        <f>H16*F16</f>
        <v>2656</v>
      </c>
      <c r="J16" s="1">
        <v>18</v>
      </c>
      <c r="K16" s="3">
        <v>478.8</v>
      </c>
      <c r="L16" s="3">
        <f t="shared" ref="L16:L18" si="0">K16+I16</f>
        <v>3134.8</v>
      </c>
    </row>
    <row r="17" spans="1:12" x14ac:dyDescent="0.25">
      <c r="A17" s="14">
        <v>46308</v>
      </c>
      <c r="B17" s="13" t="s">
        <v>51</v>
      </c>
      <c r="C17" s="1" t="s">
        <v>52</v>
      </c>
      <c r="D17" s="15" t="s">
        <v>56</v>
      </c>
      <c r="E17" s="20">
        <v>83111000</v>
      </c>
      <c r="F17" s="11">
        <v>28</v>
      </c>
      <c r="G17" s="1" t="s">
        <v>22</v>
      </c>
      <c r="H17" s="3">
        <v>83</v>
      </c>
      <c r="I17" s="3">
        <f>H17*F17</f>
        <v>2324</v>
      </c>
      <c r="J17" s="1">
        <v>18</v>
      </c>
      <c r="K17" s="3">
        <v>418.32</v>
      </c>
      <c r="L17" s="3">
        <f t="shared" si="0"/>
        <v>2742.32</v>
      </c>
    </row>
    <row r="18" spans="1:12" x14ac:dyDescent="0.25">
      <c r="A18" s="14">
        <v>46308</v>
      </c>
      <c r="B18" s="13" t="s">
        <v>51</v>
      </c>
      <c r="C18" s="1" t="s">
        <v>52</v>
      </c>
      <c r="D18" s="15" t="s">
        <v>57</v>
      </c>
      <c r="E18" s="18">
        <v>995519</v>
      </c>
      <c r="F18" s="11"/>
      <c r="G18" s="1"/>
      <c r="I18" s="3">
        <v>1100</v>
      </c>
      <c r="J18" s="1">
        <v>18</v>
      </c>
      <c r="K18" s="3">
        <v>198</v>
      </c>
      <c r="L18" s="3">
        <f t="shared" si="0"/>
        <v>1298</v>
      </c>
    </row>
    <row r="19" spans="1:12" x14ac:dyDescent="0.25">
      <c r="A19" s="14"/>
      <c r="B19" s="4"/>
      <c r="C19" s="4"/>
      <c r="D19" s="5" t="s">
        <v>49</v>
      </c>
      <c r="E19" s="4"/>
      <c r="F19" s="6"/>
      <c r="G19" s="6"/>
      <c r="H19" s="6"/>
      <c r="I19" s="7">
        <f>SUM(I3:I18)</f>
        <v>101274.33</v>
      </c>
      <c r="J19" s="6"/>
      <c r="K19" s="7">
        <f>SUM(K3:K18)</f>
        <v>16024.499999999998</v>
      </c>
      <c r="L19" s="7">
        <f>SUM(L3:L18)</f>
        <v>117298.83</v>
      </c>
    </row>
    <row r="20" spans="1:12" x14ac:dyDescent="0.25">
      <c r="D20" s="16"/>
      <c r="F20" s="12"/>
      <c r="G20" s="12"/>
      <c r="H20" s="12"/>
      <c r="I20" s="17"/>
      <c r="J20" s="12"/>
      <c r="K20" s="17"/>
      <c r="L20" s="17"/>
    </row>
    <row r="21" spans="1:12" x14ac:dyDescent="0.25">
      <c r="F21" s="12"/>
      <c r="G21" s="12"/>
      <c r="H21" s="12"/>
      <c r="I21" s="19"/>
      <c r="J21" s="12"/>
      <c r="K21" s="19"/>
      <c r="L21" s="12"/>
    </row>
    <row r="23" spans="1:12" ht="15.75" x14ac:dyDescent="0.25">
      <c r="B23" s="9" t="s">
        <v>1</v>
      </c>
      <c r="C23" s="9" t="s">
        <v>11</v>
      </c>
    </row>
    <row r="24" spans="1:12" x14ac:dyDescent="0.25">
      <c r="B24" s="8" t="s">
        <v>13</v>
      </c>
      <c r="C24" s="3">
        <f>SUMIF(B3:B7, B24, L3:L7)</f>
        <v>39078.449999999997</v>
      </c>
    </row>
    <row r="25" spans="1:12" x14ac:dyDescent="0.25">
      <c r="B25" s="8" t="s">
        <v>24</v>
      </c>
      <c r="C25" s="3">
        <f>SUMIF(B3:B14, B25, L3:L14)</f>
        <v>11682</v>
      </c>
    </row>
    <row r="26" spans="1:12" x14ac:dyDescent="0.25">
      <c r="B26" s="8" t="s">
        <v>29</v>
      </c>
      <c r="C26" s="3">
        <f>SUMIF(B9:B11, B26, L9:L11)</f>
        <v>27018.460000000003</v>
      </c>
    </row>
    <row r="27" spans="1:12" x14ac:dyDescent="0.25">
      <c r="B27" s="8" t="s">
        <v>38</v>
      </c>
      <c r="C27" s="3">
        <f>SUMIF(B3:B14, B27, L3:L14)</f>
        <v>17760</v>
      </c>
    </row>
    <row r="28" spans="1:12" x14ac:dyDescent="0.25">
      <c r="B28" s="8" t="s">
        <v>44</v>
      </c>
      <c r="C28" s="3">
        <f>SUMIF(B3:B14, B28, L3:L14)</f>
        <v>12390</v>
      </c>
    </row>
    <row r="29" spans="1:12" x14ac:dyDescent="0.25">
      <c r="B29" s="8" t="s">
        <v>51</v>
      </c>
      <c r="C29" s="3">
        <f>L15+L16+L17+L18</f>
        <v>9369.92</v>
      </c>
    </row>
    <row r="30" spans="1:12" x14ac:dyDescent="0.25">
      <c r="B30" s="5" t="s">
        <v>49</v>
      </c>
      <c r="C30" s="7">
        <f>SUM(C24:C29)</f>
        <v>117298.83</v>
      </c>
    </row>
  </sheetData>
  <autoFilter ref="A2:L19" xr:uid="{00000000-0001-0000-0000-000000000000}"/>
  <mergeCells count="1">
    <mergeCell ref="A1:L1"/>
  </mergeCells>
  <phoneticPr fontId="6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Finalized Purchase 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2026-10-11T06:16:45Z</dcterms:created>
  <dcterms:modified xsi:type="dcterms:W3CDTF">2026-10-15T11:23:40Z</dcterms:modified>
</cp:coreProperties>
</file>