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urchase_List_October_2026\master Quotations_October_2026\"/>
    </mc:Choice>
  </mc:AlternateContent>
  <xr:revisionPtr revIDLastSave="0" documentId="13_ncr:1_{E4F94C85-A683-48D9-B9BB-920288F9CEF5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Amar Jyoti Machinery" sheetId="1" r:id="rId1"/>
    <sheet name="SA Engineering" sheetId="2" r:id="rId2"/>
    <sheet name="Maxxinc" sheetId="3" r:id="rId3"/>
    <sheet name="Altech Construction Equip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4" l="1"/>
  <c r="G4" i="4"/>
  <c r="G6" i="4" s="1"/>
  <c r="G7" i="4" l="1"/>
  <c r="G8" i="4"/>
  <c r="G17" i="3"/>
  <c r="F17" i="2"/>
  <c r="H18" i="1"/>
</calcChain>
</file>

<file path=xl/sharedStrings.xml><?xml version="1.0" encoding="utf-8"?>
<sst xmlns="http://schemas.openxmlformats.org/spreadsheetml/2006/main" count="119" uniqueCount="95">
  <si>
    <t>ESTIMATE DETAILS</t>
  </si>
  <si>
    <t>VENDOR DETAILS</t>
  </si>
  <si>
    <t>BUYER DETAILS</t>
  </si>
  <si>
    <t>AMAR JYOTI MACHINERY CORPORATION</t>
  </si>
  <si>
    <t>KRISHI INFRATECH</t>
  </si>
  <si>
    <t>11-176/1 FATHENAGAR MAIN ROAD, HYDERABAD</t>
  </si>
  <si>
    <t>Srikakulam, AP</t>
  </si>
  <si>
    <t>Phone no.: 9052290035 | Email: amarjyoti.mc@gmail.com</t>
  </si>
  <si>
    <t>GSTIN: 36ABLPA4029M1ZL | State: 36-Telangana</t>
  </si>
  <si>
    <t>Estimate No.:</t>
  </si>
  <si>
    <t>Date:</t>
  </si>
  <si>
    <t>21-10-2026</t>
  </si>
  <si>
    <t>Item Name</t>
  </si>
  <si>
    <t>HSN/SAC</t>
  </si>
  <si>
    <t>Quantity</t>
  </si>
  <si>
    <t>Unit</t>
  </si>
  <si>
    <t>Price/Unit</t>
  </si>
  <si>
    <t>GST</t>
  </si>
  <si>
    <t>Amount</t>
  </si>
  <si>
    <t>32mm heavy duty bar bending machine with phase protector and suitable Electricals. AMTEK make</t>
  </si>
  <si>
    <t>Nos</t>
  </si>
  <si>
    <t>32mm heavy duty bar cutting machine with phase protector. (AMTEK MAKE)</t>
  </si>
  <si>
    <t>2hp 1phase heavy duty concrete vibrator with 40mm needle. (AMTEK MAKE)</t>
  </si>
  <si>
    <t>Sub Total</t>
  </si>
  <si>
    <t>SGST @ 9.0%</t>
  </si>
  <si>
    <t>CGST @ 9.0%</t>
  </si>
  <si>
    <t>Total</t>
  </si>
  <si>
    <t>Amount in Words:</t>
  </si>
  <si>
    <t>One Lakh Sixty Eight Thousand Two Hundred and Sixty Eight Rupees only</t>
  </si>
  <si>
    <t>QUOTATION DETAILS</t>
  </si>
  <si>
    <t>SA ENGINEERING</t>
  </si>
  <si>
    <t>M/S KRISHI INFRATECH</t>
  </si>
  <si>
    <t>1-3-631, KOTHABAZAR, KAVADIGUDA, HYDERABAD, TELANGANA, 500080</t>
  </si>
  <si>
    <t>Mobile: 6281068801 | Email: sharukh3705@gmail.com</t>
  </si>
  <si>
    <t>GSTIN: 36OTAPS2448F1ZB</t>
  </si>
  <si>
    <t>Quotation No.:</t>
  </si>
  <si>
    <t>QUO 697</t>
  </si>
  <si>
    <t>21/10/2026</t>
  </si>
  <si>
    <t>S.No.</t>
  </si>
  <si>
    <t>Item Code</t>
  </si>
  <si>
    <t>Item Details</t>
  </si>
  <si>
    <t>Price</t>
  </si>
  <si>
    <t>8462</t>
  </si>
  <si>
    <t>BAR BENDING MACHINE
Up to 32MM Regular Bending
5Hp Brake Motor copper winding
3Phase Supply mechine
400kg Weight Mechine
Heavy duty Mechine
Hi-tech Make</t>
  </si>
  <si>
    <t>BAR CUTTING MACHINE
Up to 32MM Regular Cutting
5Hp Motor copper winding
3Phase Supply mechine
400kg Weight Mechine
Heavy duty Mechine
Hi-tech Make</t>
  </si>
  <si>
    <t>9024</t>
  </si>
  <si>
    <t>Handy Vibrator with 3 Meter Needle
2000Watts Vibrator with 3Meter 35mm needle</t>
  </si>
  <si>
    <t>Subtotal</t>
  </si>
  <si>
    <t>GST Tax (18%)</t>
  </si>
  <si>
    <t>BUYER / CONSIGNEE DETAILS</t>
  </si>
  <si>
    <t>MAXXINC (26-27)</t>
  </si>
  <si>
    <t>Krishi Infratech</t>
  </si>
  <si>
    <t>26-1-7, BOWDARAMAIN ROAD, COMMERCE HOUSE, VISAKHAPATNAM</t>
  </si>
  <si>
    <t>6-2-191, D L Road, Hindupur, Ananthapuramu</t>
  </si>
  <si>
    <t>PH: 9848035002</t>
  </si>
  <si>
    <t>GSTIN/UIN: 37AALFK7884R1Z1 | State: Andhra Pradesh (37)</t>
  </si>
  <si>
    <t>GSTIN/UIN: 37ASQPJ7618B1ZK | State: Andhra Pradesh (37)</t>
  </si>
  <si>
    <t>Invoice/Quo No.:</t>
  </si>
  <si>
    <t>Dated:</t>
  </si>
  <si>
    <t>21-Oct-26</t>
  </si>
  <si>
    <t>Sl No.</t>
  </si>
  <si>
    <t>Description of Goods</t>
  </si>
  <si>
    <t>GST Rate</t>
  </si>
  <si>
    <t>Rate per</t>
  </si>
  <si>
    <t>BAR BENDING MACHINE XLNT XTBTM250 4-32 MM</t>
  </si>
  <si>
    <t>18 %</t>
  </si>
  <si>
    <t>BAR CUTTING MACHINE XTHDBCM83 4-32MM</t>
  </si>
  <si>
    <t>84615029</t>
  </si>
  <si>
    <t>CONCRETE VIBRATOR M/C'S [XLNT]</t>
  </si>
  <si>
    <t>8467</t>
  </si>
  <si>
    <t>VIBRATOR NEEDLE 40MM X 6 MTR</t>
  </si>
  <si>
    <t>ELECTRIC VIBRATOR XLNT XL 233 HEAVY WITH 3 MTR NEEDLE</t>
  </si>
  <si>
    <t>84678990</t>
  </si>
  <si>
    <t>INR One Lakh Seventy Eight Thousand Six Hundred Thirty Only</t>
  </si>
  <si>
    <t>S No</t>
  </si>
  <si>
    <t>1. ALTECH CONSTRUCTION EQUIPMENTS,Hydarabad,9985097685</t>
  </si>
  <si>
    <t>Item Description / Specifications</t>
  </si>
  <si>
    <t>Model/Code</t>
  </si>
  <si>
    <t>Qty</t>
  </si>
  <si>
    <t>Original Price</t>
  </si>
  <si>
    <t>Discounted Price</t>
  </si>
  <si>
    <t>Total (Excl. GST)</t>
  </si>
  <si>
    <t>Bar Cutting Machine (6mm-40mm, 4KW, 2880rpm, 520kg)</t>
  </si>
  <si>
    <t>ACE-GQ50/C50</t>
  </si>
  <si>
    <t>Bar Bending Machine (32mm rebar, 5HP/3.75kW, 340kg)</t>
  </si>
  <si>
    <t>Ace-B42</t>
  </si>
  <si>
    <t>GST (18% Extra)</t>
  </si>
  <si>
    <t>Grand Total (Estimated)</t>
  </si>
  <si>
    <t>Terms &amp; Conditions (Altech):</t>
  </si>
  <si>
    <t>• Delivery: Ready Stock</t>
  </si>
  <si>
    <t>• Payment: 100% advance payment</t>
  </si>
  <si>
    <t>• Price: Ex-Showroom Hyderabad</t>
  </si>
  <si>
    <t>• Warranty: 6 Months against manufacturing defects only (excludes rubber, wear parts, electricals)</t>
  </si>
  <si>
    <t>• Validity: 30 Days</t>
  </si>
  <si>
    <t>• Transportation: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</si>
</sst>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 &quot;#,##0.00"/>
    <numFmt numFmtId="165" formatCode="\₹#,##0.00"/>
  </numFmts>
  <fonts count="10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b/>
      <sz val="12"/>
      <color rgb="FF1F497D"/>
      <name val="Segoe UI"/>
    </font>
    <font>
      <b/>
      <sz val="10"/>
      <name val="Segoe UI"/>
    </font>
    <font>
      <sz val="10"/>
      <name val="Segoe UI"/>
    </font>
    <font>
      <b/>
      <sz val="11"/>
      <color rgb="FFFFFFFF"/>
      <name val="Segoe UI"/>
    </font>
    <font>
      <b/>
      <sz val="12"/>
      <color rgb="FF1F497D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9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3" fillId="3" borderId="0" xfId="0" applyFont="1" applyFill="1"/>
    <xf numFmtId="164" fontId="3" fillId="3" borderId="2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right" vertical="center"/>
    </xf>
    <xf numFmtId="0" fontId="8" fillId="0" borderId="0" xfId="0" applyFont="1"/>
    <xf numFmtId="165" fontId="8" fillId="0" borderId="0" xfId="0" applyNumberFormat="1" applyFont="1" applyAlignment="1">
      <alignment horizontal="right" vertical="center"/>
    </xf>
    <xf numFmtId="165" fontId="8" fillId="5" borderId="2" xfId="0" applyNumberFormat="1" applyFont="1" applyFill="1" applyBorder="1" applyAlignment="1">
      <alignment horizontal="right"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85" zoomScaleNormal="85" workbookViewId="0">
      <selection activeCell="B35" sqref="B35"/>
    </sheetView>
  </sheetViews>
  <sheetFormatPr defaultRowHeight="15" x14ac:dyDescent="0.25"/>
  <cols>
    <col min="1" max="1" width="29.42578125" customWidth="1"/>
    <col min="2" max="2" width="71.28515625" customWidth="1"/>
    <col min="3" max="3" width="45" customWidth="1"/>
    <col min="4" max="4" width="12" customWidth="1"/>
    <col min="5" max="5" width="17" customWidth="1"/>
    <col min="6" max="6" width="14" customWidth="1"/>
    <col min="7" max="7" width="15" customWidth="1"/>
    <col min="8" max="8" width="17" customWidth="1"/>
  </cols>
  <sheetData>
    <row r="1" spans="1:8" ht="30" customHeight="1" x14ac:dyDescent="0.5">
      <c r="A1" s="1" t="s">
        <v>0</v>
      </c>
    </row>
    <row r="3" spans="1:8" ht="17.25" x14ac:dyDescent="0.3">
      <c r="A3" s="2" t="s">
        <v>1</v>
      </c>
      <c r="E3" s="2" t="s">
        <v>2</v>
      </c>
    </row>
    <row r="4" spans="1:8" x14ac:dyDescent="0.25">
      <c r="A4" t="s">
        <v>3</v>
      </c>
      <c r="E4" t="s">
        <v>4</v>
      </c>
    </row>
    <row r="5" spans="1:8" x14ac:dyDescent="0.25">
      <c r="A5" t="s">
        <v>5</v>
      </c>
      <c r="E5" t="s">
        <v>6</v>
      </c>
    </row>
    <row r="6" spans="1:8" x14ac:dyDescent="0.25">
      <c r="A6" t="s">
        <v>7</v>
      </c>
    </row>
    <row r="7" spans="1:8" x14ac:dyDescent="0.25">
      <c r="A7" t="s">
        <v>8</v>
      </c>
    </row>
    <row r="9" spans="1:8" x14ac:dyDescent="0.25">
      <c r="A9" s="3" t="s">
        <v>9</v>
      </c>
      <c r="B9" s="4">
        <v>457</v>
      </c>
      <c r="E9" s="3" t="s">
        <v>10</v>
      </c>
      <c r="F9" s="5" t="s">
        <v>11</v>
      </c>
    </row>
    <row r="11" spans="1:8" ht="24.95" customHeight="1" x14ac:dyDescent="0.25">
      <c r="A11" s="6" t="s">
        <v>74</v>
      </c>
      <c r="B11" s="6" t="s">
        <v>12</v>
      </c>
      <c r="C11" s="6" t="s">
        <v>13</v>
      </c>
      <c r="D11" s="6" t="s">
        <v>14</v>
      </c>
      <c r="E11" s="6" t="s">
        <v>15</v>
      </c>
      <c r="F11" s="6" t="s">
        <v>16</v>
      </c>
      <c r="G11" s="6" t="s">
        <v>17</v>
      </c>
      <c r="H11" s="6" t="s">
        <v>18</v>
      </c>
    </row>
    <row r="12" spans="1:8" ht="39.950000000000003" customHeight="1" x14ac:dyDescent="0.25">
      <c r="A12" s="7">
        <v>1</v>
      </c>
      <c r="B12" s="8" t="s">
        <v>19</v>
      </c>
      <c r="C12" s="7"/>
      <c r="D12" s="7">
        <v>1</v>
      </c>
      <c r="E12" s="7" t="s">
        <v>20</v>
      </c>
      <c r="F12" s="13">
        <v>66000</v>
      </c>
      <c r="G12" s="13">
        <v>11880</v>
      </c>
      <c r="H12" s="13">
        <v>77880</v>
      </c>
    </row>
    <row r="13" spans="1:8" ht="39.950000000000003" customHeight="1" x14ac:dyDescent="0.25">
      <c r="A13" s="7">
        <v>2</v>
      </c>
      <c r="B13" s="8" t="s">
        <v>21</v>
      </c>
      <c r="C13" s="7"/>
      <c r="D13" s="7">
        <v>1</v>
      </c>
      <c r="E13" s="7" t="s">
        <v>20</v>
      </c>
      <c r="F13" s="13">
        <v>59000</v>
      </c>
      <c r="G13" s="13">
        <v>10620</v>
      </c>
      <c r="H13" s="13">
        <v>69620</v>
      </c>
    </row>
    <row r="14" spans="1:8" ht="39.950000000000003" customHeight="1" x14ac:dyDescent="0.25">
      <c r="A14" s="7">
        <v>3</v>
      </c>
      <c r="B14" s="8" t="s">
        <v>22</v>
      </c>
      <c r="C14" s="7"/>
      <c r="D14" s="7">
        <v>1</v>
      </c>
      <c r="E14" s="7" t="s">
        <v>20</v>
      </c>
      <c r="F14" s="13">
        <v>17600</v>
      </c>
      <c r="G14" s="13">
        <v>3168</v>
      </c>
      <c r="H14" s="13">
        <v>20768</v>
      </c>
    </row>
    <row r="15" spans="1:8" x14ac:dyDescent="0.25">
      <c r="D15" s="14"/>
      <c r="E15" s="14"/>
      <c r="F15" s="14"/>
      <c r="G15" s="15" t="s">
        <v>23</v>
      </c>
      <c r="H15" s="16">
        <v>142600</v>
      </c>
    </row>
    <row r="16" spans="1:8" x14ac:dyDescent="0.25">
      <c r="D16" s="14"/>
      <c r="E16" s="14"/>
      <c r="F16" s="14"/>
      <c r="G16" s="15" t="s">
        <v>24</v>
      </c>
      <c r="H16" s="16">
        <v>12834</v>
      </c>
    </row>
    <row r="17" spans="1:8" x14ac:dyDescent="0.25">
      <c r="D17" s="14"/>
      <c r="E17" s="14"/>
      <c r="F17" s="14"/>
      <c r="G17" s="15" t="s">
        <v>25</v>
      </c>
      <c r="H17" s="16">
        <v>12834</v>
      </c>
    </row>
    <row r="18" spans="1:8" x14ac:dyDescent="0.25">
      <c r="D18" s="14"/>
      <c r="E18" s="14"/>
      <c r="F18" s="14"/>
      <c r="G18" s="17" t="s">
        <v>26</v>
      </c>
      <c r="H18" s="18">
        <f>SUM(H15:H17)</f>
        <v>168268</v>
      </c>
    </row>
    <row r="20" spans="1:8" x14ac:dyDescent="0.25">
      <c r="A20" s="3" t="s">
        <v>27</v>
      </c>
      <c r="B20" s="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opLeftCell="A7" workbookViewId="0">
      <selection activeCell="B22" sqref="B22"/>
    </sheetView>
  </sheetViews>
  <sheetFormatPr defaultRowHeight="15" x14ac:dyDescent="0.25"/>
  <cols>
    <col min="1" max="1" width="18" customWidth="1"/>
    <col min="2" max="2" width="45" customWidth="1"/>
    <col min="3" max="3" width="53.7109375" customWidth="1"/>
    <col min="4" max="4" width="12" customWidth="1"/>
    <col min="5" max="6" width="17" customWidth="1"/>
  </cols>
  <sheetData>
    <row r="1" spans="1:6" ht="30" customHeight="1" x14ac:dyDescent="0.5">
      <c r="A1" s="1" t="s">
        <v>29</v>
      </c>
    </row>
    <row r="3" spans="1:6" ht="17.25" x14ac:dyDescent="0.3">
      <c r="A3" s="2" t="s">
        <v>1</v>
      </c>
      <c r="E3" s="2" t="s">
        <v>2</v>
      </c>
    </row>
    <row r="4" spans="1:6" x14ac:dyDescent="0.25">
      <c r="A4" t="s">
        <v>30</v>
      </c>
      <c r="E4" t="s">
        <v>31</v>
      </c>
    </row>
    <row r="5" spans="1:6" x14ac:dyDescent="0.25">
      <c r="A5" t="s">
        <v>32</v>
      </c>
    </row>
    <row r="6" spans="1:6" x14ac:dyDescent="0.25">
      <c r="A6" t="s">
        <v>33</v>
      </c>
    </row>
    <row r="7" spans="1:6" x14ac:dyDescent="0.25">
      <c r="A7" t="s">
        <v>34</v>
      </c>
    </row>
    <row r="9" spans="1:6" x14ac:dyDescent="0.25">
      <c r="A9" s="3" t="s">
        <v>35</v>
      </c>
      <c r="B9" s="5" t="s">
        <v>36</v>
      </c>
      <c r="E9" s="3" t="s">
        <v>10</v>
      </c>
      <c r="F9" s="5" t="s">
        <v>37</v>
      </c>
    </row>
    <row r="11" spans="1:6" ht="24.95" customHeight="1" x14ac:dyDescent="0.25">
      <c r="A11" s="6" t="s">
        <v>38</v>
      </c>
      <c r="B11" s="6" t="s">
        <v>39</v>
      </c>
      <c r="C11" s="6" t="s">
        <v>40</v>
      </c>
      <c r="D11" s="6" t="s">
        <v>14</v>
      </c>
      <c r="E11" s="6" t="s">
        <v>41</v>
      </c>
      <c r="F11" s="6" t="s">
        <v>26</v>
      </c>
    </row>
    <row r="12" spans="1:6" ht="110.1" customHeight="1" x14ac:dyDescent="0.25">
      <c r="A12" s="7">
        <v>1</v>
      </c>
      <c r="B12" s="7" t="s">
        <v>42</v>
      </c>
      <c r="C12" s="8" t="s">
        <v>43</v>
      </c>
      <c r="D12" s="7">
        <v>1</v>
      </c>
      <c r="E12" s="13">
        <v>88000</v>
      </c>
      <c r="F12" s="13">
        <v>88000</v>
      </c>
    </row>
    <row r="13" spans="1:6" ht="110.1" customHeight="1" x14ac:dyDescent="0.25">
      <c r="A13" s="7">
        <v>2</v>
      </c>
      <c r="B13" s="7" t="s">
        <v>42</v>
      </c>
      <c r="C13" s="8" t="s">
        <v>44</v>
      </c>
      <c r="D13" s="7">
        <v>1</v>
      </c>
      <c r="E13" s="13">
        <v>86000</v>
      </c>
      <c r="F13" s="13">
        <v>86000</v>
      </c>
    </row>
    <row r="14" spans="1:6" ht="39.950000000000003" customHeight="1" x14ac:dyDescent="0.25">
      <c r="A14" s="7">
        <v>3</v>
      </c>
      <c r="B14" s="7" t="s">
        <v>45</v>
      </c>
      <c r="C14" s="8" t="s">
        <v>46</v>
      </c>
      <c r="D14" s="7">
        <v>1</v>
      </c>
      <c r="E14" s="13">
        <v>5500</v>
      </c>
      <c r="F14" s="13">
        <v>5500</v>
      </c>
    </row>
    <row r="15" spans="1:6" x14ac:dyDescent="0.25">
      <c r="E15" s="3" t="s">
        <v>47</v>
      </c>
      <c r="F15" s="10">
        <v>179500</v>
      </c>
    </row>
    <row r="16" spans="1:6" x14ac:dyDescent="0.25">
      <c r="E16" s="3" t="s">
        <v>48</v>
      </c>
      <c r="F16" s="10">
        <v>32310</v>
      </c>
    </row>
    <row r="17" spans="5:6" x14ac:dyDescent="0.25">
      <c r="E17" s="11" t="s">
        <v>26</v>
      </c>
      <c r="F17" s="12">
        <f>SUM(F15:F16)</f>
        <v>211810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selection activeCell="B7" sqref="B7"/>
    </sheetView>
  </sheetViews>
  <sheetFormatPr defaultRowHeight="15" x14ac:dyDescent="0.25"/>
  <cols>
    <col min="1" max="1" width="20" customWidth="1"/>
    <col min="2" max="3" width="45" customWidth="1"/>
    <col min="4" max="4" width="12" customWidth="1"/>
    <col min="5" max="5" width="29" customWidth="1"/>
    <col min="6" max="6" width="13" customWidth="1"/>
    <col min="7" max="7" width="17" customWidth="1"/>
  </cols>
  <sheetData>
    <row r="1" spans="1:7" ht="30" customHeight="1" x14ac:dyDescent="0.5">
      <c r="A1" s="1" t="s">
        <v>29</v>
      </c>
    </row>
    <row r="3" spans="1:7" ht="17.25" x14ac:dyDescent="0.3">
      <c r="A3" s="2" t="s">
        <v>1</v>
      </c>
      <c r="E3" s="2" t="s">
        <v>49</v>
      </c>
    </row>
    <row r="4" spans="1:7" x14ac:dyDescent="0.25">
      <c r="A4" t="s">
        <v>50</v>
      </c>
      <c r="E4" t="s">
        <v>51</v>
      </c>
    </row>
    <row r="5" spans="1:7" x14ac:dyDescent="0.25">
      <c r="A5" t="s">
        <v>52</v>
      </c>
      <c r="E5" t="s">
        <v>53</v>
      </c>
    </row>
    <row r="6" spans="1:7" x14ac:dyDescent="0.25">
      <c r="A6" t="s">
        <v>54</v>
      </c>
      <c r="E6" t="s">
        <v>55</v>
      </c>
    </row>
    <row r="7" spans="1:7" x14ac:dyDescent="0.25">
      <c r="A7" t="s">
        <v>56</v>
      </c>
    </row>
    <row r="9" spans="1:7" x14ac:dyDescent="0.25">
      <c r="A9" s="3" t="s">
        <v>57</v>
      </c>
      <c r="B9" s="4">
        <v>138</v>
      </c>
      <c r="E9" s="3" t="s">
        <v>58</v>
      </c>
      <c r="F9" s="5" t="s">
        <v>59</v>
      </c>
    </row>
    <row r="11" spans="1:7" ht="24.95" customHeight="1" x14ac:dyDescent="0.25">
      <c r="A11" s="6" t="s">
        <v>60</v>
      </c>
      <c r="B11" s="6" t="s">
        <v>61</v>
      </c>
      <c r="C11" s="6" t="s">
        <v>13</v>
      </c>
      <c r="D11" s="6" t="s">
        <v>62</v>
      </c>
      <c r="E11" s="6" t="s">
        <v>14</v>
      </c>
      <c r="F11" s="6" t="s">
        <v>63</v>
      </c>
      <c r="G11" s="6" t="s">
        <v>18</v>
      </c>
    </row>
    <row r="12" spans="1:7" ht="30" customHeight="1" x14ac:dyDescent="0.25">
      <c r="A12" s="7">
        <v>1</v>
      </c>
      <c r="B12" s="8" t="s">
        <v>64</v>
      </c>
      <c r="C12" s="7" t="s">
        <v>42</v>
      </c>
      <c r="D12" s="7" t="s">
        <v>65</v>
      </c>
      <c r="E12" s="7">
        <v>1</v>
      </c>
      <c r="F12" s="9">
        <v>82880</v>
      </c>
      <c r="G12" s="9">
        <v>82880</v>
      </c>
    </row>
    <row r="13" spans="1:7" ht="30" customHeight="1" x14ac:dyDescent="0.25">
      <c r="A13" s="7">
        <v>2</v>
      </c>
      <c r="B13" s="8" t="s">
        <v>66</v>
      </c>
      <c r="C13" s="7" t="s">
        <v>67</v>
      </c>
      <c r="D13" s="7" t="s">
        <v>65</v>
      </c>
      <c r="E13" s="7">
        <v>1</v>
      </c>
      <c r="F13" s="9">
        <v>72000</v>
      </c>
      <c r="G13" s="9">
        <v>72000</v>
      </c>
    </row>
    <row r="14" spans="1:7" ht="30" customHeight="1" x14ac:dyDescent="0.25">
      <c r="A14" s="7">
        <v>3</v>
      </c>
      <c r="B14" s="8" t="s">
        <v>68</v>
      </c>
      <c r="C14" s="7" t="s">
        <v>69</v>
      </c>
      <c r="D14" s="7" t="s">
        <v>65</v>
      </c>
      <c r="E14" s="7">
        <v>1</v>
      </c>
      <c r="F14" s="9">
        <v>14000</v>
      </c>
      <c r="G14" s="9">
        <v>14000</v>
      </c>
    </row>
    <row r="15" spans="1:7" ht="30" customHeight="1" x14ac:dyDescent="0.25">
      <c r="A15" s="7">
        <v>4</v>
      </c>
      <c r="B15" s="8" t="s">
        <v>70</v>
      </c>
      <c r="C15" s="7" t="s">
        <v>69</v>
      </c>
      <c r="D15" s="7" t="s">
        <v>65</v>
      </c>
      <c r="E15" s="7">
        <v>1</v>
      </c>
      <c r="F15" s="9">
        <v>4250</v>
      </c>
      <c r="G15" s="9">
        <v>4250</v>
      </c>
    </row>
    <row r="16" spans="1:7" ht="30" customHeight="1" x14ac:dyDescent="0.25">
      <c r="A16" s="7">
        <v>5</v>
      </c>
      <c r="B16" s="8" t="s">
        <v>71</v>
      </c>
      <c r="C16" s="7" t="s">
        <v>72</v>
      </c>
      <c r="D16" s="7" t="s">
        <v>65</v>
      </c>
      <c r="E16" s="7">
        <v>1</v>
      </c>
      <c r="F16" s="9">
        <v>5500</v>
      </c>
      <c r="G16" s="9">
        <v>5500</v>
      </c>
    </row>
    <row r="17" spans="1:7" x14ac:dyDescent="0.25">
      <c r="F17" s="11" t="s">
        <v>26</v>
      </c>
      <c r="G17" s="12">
        <f>SUM(G12:G16)</f>
        <v>178630</v>
      </c>
    </row>
    <row r="19" spans="1:7" x14ac:dyDescent="0.25">
      <c r="A19" s="3" t="s">
        <v>27</v>
      </c>
      <c r="B19" s="5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68E1-5327-4428-8AE5-E84FABD00674}">
  <dimension ref="A2:G16"/>
  <sheetViews>
    <sheetView topLeftCell="A4" workbookViewId="0">
      <selection activeCell="B9" sqref="B9"/>
    </sheetView>
  </sheetViews>
  <sheetFormatPr defaultRowHeight="15" x14ac:dyDescent="0.25"/>
  <cols>
    <col min="1" max="1" width="5.7109375" bestFit="1" customWidth="1"/>
    <col min="2" max="2" width="61.140625" customWidth="1"/>
    <col min="3" max="3" width="14" bestFit="1" customWidth="1"/>
    <col min="4" max="4" width="6.5703125" customWidth="1"/>
    <col min="5" max="5" width="19.140625" customWidth="1"/>
    <col min="6" max="6" width="20.85546875" customWidth="1"/>
    <col min="7" max="7" width="21.7109375" customWidth="1"/>
  </cols>
  <sheetData>
    <row r="2" spans="1:7" ht="15.75" x14ac:dyDescent="0.25">
      <c r="A2" s="28" t="s">
        <v>75</v>
      </c>
      <c r="B2" s="28"/>
    </row>
    <row r="3" spans="1:7" x14ac:dyDescent="0.25">
      <c r="A3" s="19" t="s">
        <v>38</v>
      </c>
      <c r="B3" s="19" t="s">
        <v>76</v>
      </c>
      <c r="C3" s="19" t="s">
        <v>77</v>
      </c>
      <c r="D3" s="19" t="s">
        <v>78</v>
      </c>
      <c r="E3" s="19" t="s">
        <v>79</v>
      </c>
      <c r="F3" s="19" t="s">
        <v>80</v>
      </c>
      <c r="G3" s="19" t="s">
        <v>81</v>
      </c>
    </row>
    <row r="4" spans="1:7" x14ac:dyDescent="0.25">
      <c r="A4" s="20">
        <v>1</v>
      </c>
      <c r="B4" s="21" t="s">
        <v>82</v>
      </c>
      <c r="C4" s="20" t="s">
        <v>83</v>
      </c>
      <c r="D4" s="20">
        <v>1</v>
      </c>
      <c r="E4" s="22">
        <v>135000</v>
      </c>
      <c r="F4" s="22">
        <v>130000</v>
      </c>
      <c r="G4" s="22">
        <f>D4*F4</f>
        <v>130000</v>
      </c>
    </row>
    <row r="5" spans="1:7" x14ac:dyDescent="0.25">
      <c r="A5" s="20">
        <v>2</v>
      </c>
      <c r="B5" s="21" t="s">
        <v>84</v>
      </c>
      <c r="C5" s="20" t="s">
        <v>85</v>
      </c>
      <c r="D5" s="20">
        <v>1</v>
      </c>
      <c r="E5" s="22">
        <v>125000</v>
      </c>
      <c r="F5" s="22">
        <v>120000</v>
      </c>
      <c r="G5" s="22">
        <f>D5*F5</f>
        <v>120000</v>
      </c>
    </row>
    <row r="6" spans="1:7" x14ac:dyDescent="0.25">
      <c r="B6" s="23" t="s">
        <v>47</v>
      </c>
      <c r="G6" s="24">
        <f>SUM(G4:G5)</f>
        <v>250000</v>
      </c>
    </row>
    <row r="7" spans="1:7" x14ac:dyDescent="0.25">
      <c r="B7" s="23" t="s">
        <v>86</v>
      </c>
      <c r="G7" s="24">
        <f>G6*0.18</f>
        <v>45000</v>
      </c>
    </row>
    <row r="8" spans="1:7" ht="15.75" thickBot="1" x14ac:dyDescent="0.3">
      <c r="B8" s="23" t="s">
        <v>87</v>
      </c>
      <c r="G8" s="25">
        <f>G6+G7</f>
        <v>295000</v>
      </c>
    </row>
    <row r="9" spans="1:7" ht="15.75" thickTop="1" x14ac:dyDescent="0.25"/>
    <row r="10" spans="1:7" x14ac:dyDescent="0.25">
      <c r="B10" s="23" t="s">
        <v>88</v>
      </c>
    </row>
    <row r="11" spans="1:7" x14ac:dyDescent="0.25">
      <c r="B11" s="26" t="s">
        <v>89</v>
      </c>
    </row>
    <row r="12" spans="1:7" x14ac:dyDescent="0.25">
      <c r="B12" s="26" t="s">
        <v>90</v>
      </c>
    </row>
    <row r="13" spans="1:7" x14ac:dyDescent="0.25">
      <c r="B13" s="26" t="s">
        <v>91</v>
      </c>
    </row>
    <row r="14" spans="1:7" ht="24.75" x14ac:dyDescent="0.25">
      <c r="B14" s="27" t="s">
        <v>92</v>
      </c>
    </row>
    <row r="15" spans="1:7" x14ac:dyDescent="0.25">
      <c r="B15" s="26" t="s">
        <v>93</v>
      </c>
    </row>
    <row r="16" spans="1:7" x14ac:dyDescent="0.25">
      <c r="B16" s="26" t="s">
        <v>94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Amar Jyoti Machinery</vt:lpstr>
      <vt:lpstr>SA Engineering</vt:lpstr>
      <vt:lpstr>Maxxinc</vt:lpstr>
      <vt:lpstr>Altech Construction 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2026-10-21T06:14:59Z</dcterms:created>
  <dcterms:modified xsi:type="dcterms:W3CDTF">2026-10-21T06:33:54Z</dcterms:modified>
</cp:coreProperties>
</file>